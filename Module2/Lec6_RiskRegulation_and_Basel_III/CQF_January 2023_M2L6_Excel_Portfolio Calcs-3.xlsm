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02eee3437eb7218/Documents/TrainingCourses/CQF/Basel/"/>
    </mc:Choice>
  </mc:AlternateContent>
  <xr:revisionPtr revIDLastSave="649" documentId="8_{3FBEA4B2-94DB-4205-A5C2-3D57FC9B6EB1}" xr6:coauthVersionLast="47" xr6:coauthVersionMax="47" xr10:uidLastSave="{57AB0B33-6F42-4F6A-935B-80A04B2E43DC}"/>
  <bookViews>
    <workbookView xWindow="-108" yWindow="-108" windowWidth="23256" windowHeight="13896" xr2:uid="{BFDE3F04-EADA-4D14-8ADE-23836A551B81}"/>
  </bookViews>
  <sheets>
    <sheet name="Credit Portfolio" sheetId="1" r:id="rId1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1" l="1"/>
  <c r="I4" i="1"/>
  <c r="I10" i="1" l="1"/>
  <c r="I9" i="1"/>
  <c r="I8" i="1"/>
  <c r="I7" i="1"/>
  <c r="I6" i="1"/>
  <c r="I5" i="1"/>
  <c r="G4" i="1"/>
  <c r="G11" i="1"/>
  <c r="I12" i="1" l="1"/>
  <c r="U9" i="1"/>
  <c r="G7" i="1"/>
  <c r="G6" i="1"/>
  <c r="C20" i="1" l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G9" i="1"/>
  <c r="G5" i="1"/>
  <c r="G10" i="1"/>
  <c r="G8" i="1"/>
  <c r="W6" i="1"/>
  <c r="AC6" i="1"/>
  <c r="AC5" i="1" s="1"/>
  <c r="AE5" i="1" s="1"/>
  <c r="D40" i="1" a="1"/>
  <c r="C40" i="1" a="1"/>
  <c r="E40" i="1" a="1"/>
  <c r="B40" i="1" a="1"/>
  <c r="G12" i="1" l="1"/>
  <c r="B43" i="1"/>
  <c r="B51" i="1"/>
  <c r="B59" i="1"/>
  <c r="B67" i="1"/>
  <c r="B75" i="1"/>
  <c r="B83" i="1"/>
  <c r="B91" i="1"/>
  <c r="B99" i="1"/>
  <c r="B107" i="1"/>
  <c r="B115" i="1"/>
  <c r="B123" i="1"/>
  <c r="B131" i="1"/>
  <c r="B139" i="1"/>
  <c r="B147" i="1"/>
  <c r="B155" i="1"/>
  <c r="B163" i="1"/>
  <c r="B171" i="1"/>
  <c r="B179" i="1"/>
  <c r="B187" i="1"/>
  <c r="B195" i="1"/>
  <c r="B108" i="1"/>
  <c r="B132" i="1"/>
  <c r="B164" i="1"/>
  <c r="B44" i="1"/>
  <c r="B52" i="1"/>
  <c r="B60" i="1"/>
  <c r="B68" i="1"/>
  <c r="B76" i="1"/>
  <c r="B84" i="1"/>
  <c r="B92" i="1"/>
  <c r="B100" i="1"/>
  <c r="B116" i="1"/>
  <c r="B124" i="1"/>
  <c r="B140" i="1"/>
  <c r="B148" i="1"/>
  <c r="B156" i="1"/>
  <c r="B172" i="1"/>
  <c r="B46" i="1"/>
  <c r="B54" i="1"/>
  <c r="B62" i="1"/>
  <c r="B70" i="1"/>
  <c r="B78" i="1"/>
  <c r="B86" i="1"/>
  <c r="B94" i="1"/>
  <c r="B102" i="1"/>
  <c r="B110" i="1"/>
  <c r="B118" i="1"/>
  <c r="B126" i="1"/>
  <c r="B134" i="1"/>
  <c r="B142" i="1"/>
  <c r="B150" i="1"/>
  <c r="B158" i="1"/>
  <c r="B166" i="1"/>
  <c r="B174" i="1"/>
  <c r="B182" i="1"/>
  <c r="B190" i="1"/>
  <c r="B198" i="1"/>
  <c r="B48" i="1"/>
  <c r="B61" i="1"/>
  <c r="B73" i="1"/>
  <c r="B87" i="1"/>
  <c r="B98" i="1"/>
  <c r="B112" i="1"/>
  <c r="B125" i="1"/>
  <c r="B137" i="1"/>
  <c r="B151" i="1"/>
  <c r="B162" i="1"/>
  <c r="B176" i="1"/>
  <c r="B186" i="1"/>
  <c r="B197" i="1"/>
  <c r="B50" i="1"/>
  <c r="B64" i="1"/>
  <c r="B77" i="1"/>
  <c r="B89" i="1"/>
  <c r="B103" i="1"/>
  <c r="B114" i="1"/>
  <c r="B128" i="1"/>
  <c r="B141" i="1"/>
  <c r="B153" i="1"/>
  <c r="B167" i="1"/>
  <c r="B178" i="1"/>
  <c r="B189" i="1"/>
  <c r="B55" i="1"/>
  <c r="B105" i="1"/>
  <c r="B144" i="1"/>
  <c r="B192" i="1"/>
  <c r="B42" i="1"/>
  <c r="B81" i="1"/>
  <c r="B133" i="1"/>
  <c r="B183" i="1"/>
  <c r="B194" i="1"/>
  <c r="B47" i="1"/>
  <c r="B97" i="1"/>
  <c r="B149" i="1"/>
  <c r="B49" i="1"/>
  <c r="B63" i="1"/>
  <c r="B74" i="1"/>
  <c r="B88" i="1"/>
  <c r="B101" i="1"/>
  <c r="B113" i="1"/>
  <c r="B127" i="1"/>
  <c r="B138" i="1"/>
  <c r="B152" i="1"/>
  <c r="B165" i="1"/>
  <c r="B177" i="1"/>
  <c r="B188" i="1"/>
  <c r="B199" i="1"/>
  <c r="B65" i="1"/>
  <c r="B104" i="1"/>
  <c r="B129" i="1"/>
  <c r="B154" i="1"/>
  <c r="B168" i="1"/>
  <c r="B191" i="1"/>
  <c r="B80" i="1"/>
  <c r="B130" i="1"/>
  <c r="B181" i="1"/>
  <c r="B69" i="1"/>
  <c r="B106" i="1"/>
  <c r="B159" i="1"/>
  <c r="B72" i="1"/>
  <c r="B136" i="1"/>
  <c r="B56" i="1"/>
  <c r="B120" i="1"/>
  <c r="B170" i="1"/>
  <c r="B111" i="1"/>
  <c r="B185" i="1"/>
  <c r="B40" i="1"/>
  <c r="B53" i="1"/>
  <c r="B79" i="1"/>
  <c r="B90" i="1"/>
  <c r="B117" i="1"/>
  <c r="B143" i="1"/>
  <c r="B180" i="1"/>
  <c r="B66" i="1"/>
  <c r="B119" i="1"/>
  <c r="B169" i="1"/>
  <c r="B58" i="1"/>
  <c r="B161" i="1"/>
  <c r="B41" i="1"/>
  <c r="B93" i="1"/>
  <c r="B157" i="1"/>
  <c r="B95" i="1"/>
  <c r="B145" i="1"/>
  <c r="B193" i="1"/>
  <c r="B122" i="1"/>
  <c r="B175" i="1"/>
  <c r="B45" i="1"/>
  <c r="B57" i="1"/>
  <c r="B71" i="1"/>
  <c r="B82" i="1"/>
  <c r="B96" i="1"/>
  <c r="B109" i="1"/>
  <c r="B121" i="1"/>
  <c r="B135" i="1"/>
  <c r="B146" i="1"/>
  <c r="B160" i="1"/>
  <c r="B173" i="1"/>
  <c r="B184" i="1"/>
  <c r="B85" i="1"/>
  <c r="B196" i="1"/>
  <c r="C41" i="1"/>
  <c r="C49" i="1"/>
  <c r="C57" i="1"/>
  <c r="C42" i="1"/>
  <c r="C50" i="1"/>
  <c r="C58" i="1"/>
  <c r="C66" i="1"/>
  <c r="C74" i="1"/>
  <c r="C82" i="1"/>
  <c r="C43" i="1"/>
  <c r="C51" i="1"/>
  <c r="C59" i="1"/>
  <c r="C67" i="1"/>
  <c r="C75" i="1"/>
  <c r="C83" i="1"/>
  <c r="C44" i="1"/>
  <c r="C52" i="1"/>
  <c r="C60" i="1"/>
  <c r="C68" i="1"/>
  <c r="C76" i="1"/>
  <c r="C84" i="1"/>
  <c r="C92" i="1"/>
  <c r="C100" i="1"/>
  <c r="C108" i="1"/>
  <c r="C116" i="1"/>
  <c r="C124" i="1"/>
  <c r="C132" i="1"/>
  <c r="C140" i="1"/>
  <c r="C148" i="1"/>
  <c r="C156" i="1"/>
  <c r="C164" i="1"/>
  <c r="C172" i="1"/>
  <c r="C180" i="1"/>
  <c r="C188" i="1"/>
  <c r="C196" i="1"/>
  <c r="C45" i="1"/>
  <c r="C53" i="1"/>
  <c r="C61" i="1"/>
  <c r="C69" i="1"/>
  <c r="C77" i="1"/>
  <c r="C85" i="1"/>
  <c r="C93" i="1"/>
  <c r="C101" i="1"/>
  <c r="C109" i="1"/>
  <c r="C117" i="1"/>
  <c r="C125" i="1"/>
  <c r="C133" i="1"/>
  <c r="C141" i="1"/>
  <c r="C149" i="1"/>
  <c r="C157" i="1"/>
  <c r="C165" i="1"/>
  <c r="C173" i="1"/>
  <c r="C181" i="1"/>
  <c r="C189" i="1"/>
  <c r="C197" i="1"/>
  <c r="C47" i="1"/>
  <c r="C55" i="1"/>
  <c r="C63" i="1"/>
  <c r="C71" i="1"/>
  <c r="C79" i="1"/>
  <c r="C87" i="1"/>
  <c r="C95" i="1"/>
  <c r="C103" i="1"/>
  <c r="C111" i="1"/>
  <c r="C119" i="1"/>
  <c r="C127" i="1"/>
  <c r="C135" i="1"/>
  <c r="C143" i="1"/>
  <c r="C151" i="1"/>
  <c r="C159" i="1"/>
  <c r="C167" i="1"/>
  <c r="C175" i="1"/>
  <c r="C183" i="1"/>
  <c r="C191" i="1"/>
  <c r="C199" i="1"/>
  <c r="C54" i="1"/>
  <c r="C78" i="1"/>
  <c r="C94" i="1"/>
  <c r="C106" i="1"/>
  <c r="C120" i="1"/>
  <c r="C131" i="1"/>
  <c r="C145" i="1"/>
  <c r="C158" i="1"/>
  <c r="C170" i="1"/>
  <c r="C184" i="1"/>
  <c r="C195" i="1"/>
  <c r="C88" i="1"/>
  <c r="C177" i="1"/>
  <c r="C70" i="1"/>
  <c r="C128" i="1"/>
  <c r="C166" i="1"/>
  <c r="C48" i="1"/>
  <c r="C118" i="1"/>
  <c r="C155" i="1"/>
  <c r="C56" i="1"/>
  <c r="C80" i="1"/>
  <c r="C96" i="1"/>
  <c r="C107" i="1"/>
  <c r="C121" i="1"/>
  <c r="C134" i="1"/>
  <c r="C146" i="1"/>
  <c r="C160" i="1"/>
  <c r="C171" i="1"/>
  <c r="C185" i="1"/>
  <c r="C198" i="1"/>
  <c r="C152" i="1"/>
  <c r="C40" i="1"/>
  <c r="C114" i="1"/>
  <c r="C139" i="1"/>
  <c r="C192" i="1"/>
  <c r="C73" i="1"/>
  <c r="C130" i="1"/>
  <c r="C194" i="1"/>
  <c r="C62" i="1"/>
  <c r="C81" i="1"/>
  <c r="C97" i="1"/>
  <c r="C110" i="1"/>
  <c r="C122" i="1"/>
  <c r="C136" i="1"/>
  <c r="C147" i="1"/>
  <c r="C161" i="1"/>
  <c r="C174" i="1"/>
  <c r="C186" i="1"/>
  <c r="C89" i="1"/>
  <c r="C153" i="1"/>
  <c r="C105" i="1"/>
  <c r="C182" i="1"/>
  <c r="C64" i="1"/>
  <c r="C86" i="1"/>
  <c r="C98" i="1"/>
  <c r="C112" i="1"/>
  <c r="C123" i="1"/>
  <c r="C137" i="1"/>
  <c r="C150" i="1"/>
  <c r="C162" i="1"/>
  <c r="C176" i="1"/>
  <c r="C187" i="1"/>
  <c r="C190" i="1"/>
  <c r="C144" i="1"/>
  <c r="C65" i="1"/>
  <c r="C99" i="1"/>
  <c r="C113" i="1"/>
  <c r="C126" i="1"/>
  <c r="C138" i="1"/>
  <c r="C163" i="1"/>
  <c r="C102" i="1"/>
  <c r="C178" i="1"/>
  <c r="C46" i="1"/>
  <c r="C72" i="1"/>
  <c r="C90" i="1"/>
  <c r="C104" i="1"/>
  <c r="C115" i="1"/>
  <c r="C129" i="1"/>
  <c r="C142" i="1"/>
  <c r="C154" i="1"/>
  <c r="C168" i="1"/>
  <c r="C179" i="1"/>
  <c r="C193" i="1"/>
  <c r="C91" i="1"/>
  <c r="C169" i="1"/>
  <c r="D42" i="1"/>
  <c r="D50" i="1"/>
  <c r="D58" i="1"/>
  <c r="D66" i="1"/>
  <c r="D74" i="1"/>
  <c r="D82" i="1"/>
  <c r="D90" i="1"/>
  <c r="D98" i="1"/>
  <c r="D106" i="1"/>
  <c r="D114" i="1"/>
  <c r="D122" i="1"/>
  <c r="D130" i="1"/>
  <c r="D138" i="1"/>
  <c r="D146" i="1"/>
  <c r="D154" i="1"/>
  <c r="D162" i="1"/>
  <c r="D170" i="1"/>
  <c r="D178" i="1"/>
  <c r="D186" i="1"/>
  <c r="D194" i="1"/>
  <c r="D43" i="1"/>
  <c r="D51" i="1"/>
  <c r="D59" i="1"/>
  <c r="D67" i="1"/>
  <c r="D75" i="1"/>
  <c r="D83" i="1"/>
  <c r="D91" i="1"/>
  <c r="D99" i="1"/>
  <c r="D107" i="1"/>
  <c r="D115" i="1"/>
  <c r="D123" i="1"/>
  <c r="D131" i="1"/>
  <c r="D139" i="1"/>
  <c r="D147" i="1"/>
  <c r="D155" i="1"/>
  <c r="D163" i="1"/>
  <c r="D171" i="1"/>
  <c r="D179" i="1"/>
  <c r="D187" i="1"/>
  <c r="D195" i="1"/>
  <c r="D44" i="1"/>
  <c r="D52" i="1"/>
  <c r="D60" i="1"/>
  <c r="D68" i="1"/>
  <c r="D76" i="1"/>
  <c r="D84" i="1"/>
  <c r="D92" i="1"/>
  <c r="D100" i="1"/>
  <c r="D108" i="1"/>
  <c r="D116" i="1"/>
  <c r="D124" i="1"/>
  <c r="D132" i="1"/>
  <c r="D140" i="1"/>
  <c r="D148" i="1"/>
  <c r="D156" i="1"/>
  <c r="D164" i="1"/>
  <c r="D172" i="1"/>
  <c r="D180" i="1"/>
  <c r="D188" i="1"/>
  <c r="D196" i="1"/>
  <c r="D45" i="1"/>
  <c r="D53" i="1"/>
  <c r="D61" i="1"/>
  <c r="D69" i="1"/>
  <c r="D77" i="1"/>
  <c r="D85" i="1"/>
  <c r="D93" i="1"/>
  <c r="D101" i="1"/>
  <c r="D109" i="1"/>
  <c r="D117" i="1"/>
  <c r="D125" i="1"/>
  <c r="D133" i="1"/>
  <c r="D141" i="1"/>
  <c r="D149" i="1"/>
  <c r="D157" i="1"/>
  <c r="D165" i="1"/>
  <c r="D173" i="1"/>
  <c r="D181" i="1"/>
  <c r="D189" i="1"/>
  <c r="D197" i="1"/>
  <c r="D46" i="1"/>
  <c r="D54" i="1"/>
  <c r="D62" i="1"/>
  <c r="D70" i="1"/>
  <c r="D78" i="1"/>
  <c r="D86" i="1"/>
  <c r="D94" i="1"/>
  <c r="D102" i="1"/>
  <c r="D110" i="1"/>
  <c r="D118" i="1"/>
  <c r="D126" i="1"/>
  <c r="D134" i="1"/>
  <c r="D142" i="1"/>
  <c r="D150" i="1"/>
  <c r="D158" i="1"/>
  <c r="D166" i="1"/>
  <c r="D174" i="1"/>
  <c r="D182" i="1"/>
  <c r="D190" i="1"/>
  <c r="D198" i="1"/>
  <c r="D40" i="1"/>
  <c r="D48" i="1"/>
  <c r="D56" i="1"/>
  <c r="D64" i="1"/>
  <c r="D72" i="1"/>
  <c r="D80" i="1"/>
  <c r="D88" i="1"/>
  <c r="D96" i="1"/>
  <c r="D104" i="1"/>
  <c r="D112" i="1"/>
  <c r="D120" i="1"/>
  <c r="D128" i="1"/>
  <c r="D136" i="1"/>
  <c r="D144" i="1"/>
  <c r="D152" i="1"/>
  <c r="D160" i="1"/>
  <c r="D168" i="1"/>
  <c r="D176" i="1"/>
  <c r="D184" i="1"/>
  <c r="D192" i="1"/>
  <c r="D55" i="1"/>
  <c r="D87" i="1"/>
  <c r="D119" i="1"/>
  <c r="D151" i="1"/>
  <c r="D183" i="1"/>
  <c r="D41" i="1"/>
  <c r="D49" i="1"/>
  <c r="D57" i="1"/>
  <c r="D89" i="1"/>
  <c r="D121" i="1"/>
  <c r="D153" i="1"/>
  <c r="D185" i="1"/>
  <c r="D105" i="1"/>
  <c r="D145" i="1"/>
  <c r="D63" i="1"/>
  <c r="D95" i="1"/>
  <c r="D127" i="1"/>
  <c r="D159" i="1"/>
  <c r="D191" i="1"/>
  <c r="D73" i="1"/>
  <c r="D177" i="1"/>
  <c r="D65" i="1"/>
  <c r="D97" i="1"/>
  <c r="D129" i="1"/>
  <c r="D161" i="1"/>
  <c r="D193" i="1"/>
  <c r="D199" i="1"/>
  <c r="D81" i="1"/>
  <c r="D71" i="1"/>
  <c r="D103" i="1"/>
  <c r="D135" i="1"/>
  <c r="D167" i="1"/>
  <c r="D137" i="1"/>
  <c r="D169" i="1"/>
  <c r="D47" i="1"/>
  <c r="D79" i="1"/>
  <c r="D111" i="1"/>
  <c r="D143" i="1"/>
  <c r="D175" i="1"/>
  <c r="D113" i="1"/>
  <c r="E43" i="1"/>
  <c r="E51" i="1"/>
  <c r="E59" i="1"/>
  <c r="E67" i="1"/>
  <c r="E75" i="1"/>
  <c r="E83" i="1"/>
  <c r="E91" i="1"/>
  <c r="E99" i="1"/>
  <c r="E107" i="1"/>
  <c r="E115" i="1"/>
  <c r="E123" i="1"/>
  <c r="E131" i="1"/>
  <c r="E139" i="1"/>
  <c r="E147" i="1"/>
  <c r="E155" i="1"/>
  <c r="E163" i="1"/>
  <c r="E171" i="1"/>
  <c r="E179" i="1"/>
  <c r="E187" i="1"/>
  <c r="E195" i="1"/>
  <c r="E44" i="1"/>
  <c r="E52" i="1"/>
  <c r="E60" i="1"/>
  <c r="E68" i="1"/>
  <c r="E76" i="1"/>
  <c r="E84" i="1"/>
  <c r="E92" i="1"/>
  <c r="E100" i="1"/>
  <c r="E108" i="1"/>
  <c r="E116" i="1"/>
  <c r="E124" i="1"/>
  <c r="E132" i="1"/>
  <c r="E140" i="1"/>
  <c r="E148" i="1"/>
  <c r="E156" i="1"/>
  <c r="E164" i="1"/>
  <c r="E172" i="1"/>
  <c r="E180" i="1"/>
  <c r="E188" i="1"/>
  <c r="E196" i="1"/>
  <c r="E45" i="1"/>
  <c r="E53" i="1"/>
  <c r="E61" i="1"/>
  <c r="E69" i="1"/>
  <c r="E77" i="1"/>
  <c r="E85" i="1"/>
  <c r="E93" i="1"/>
  <c r="E101" i="1"/>
  <c r="E109" i="1"/>
  <c r="E117" i="1"/>
  <c r="E125" i="1"/>
  <c r="E133" i="1"/>
  <c r="E141" i="1"/>
  <c r="E149" i="1"/>
  <c r="E157" i="1"/>
  <c r="E165" i="1"/>
  <c r="E173" i="1"/>
  <c r="E181" i="1"/>
  <c r="E189" i="1"/>
  <c r="E197" i="1"/>
  <c r="E46" i="1"/>
  <c r="E54" i="1"/>
  <c r="E62" i="1"/>
  <c r="E70" i="1"/>
  <c r="E78" i="1"/>
  <c r="E86" i="1"/>
  <c r="E94" i="1"/>
  <c r="E102" i="1"/>
  <c r="E110" i="1"/>
  <c r="E118" i="1"/>
  <c r="E126" i="1"/>
  <c r="E134" i="1"/>
  <c r="E142" i="1"/>
  <c r="E150" i="1"/>
  <c r="E158" i="1"/>
  <c r="E166" i="1"/>
  <c r="E174" i="1"/>
  <c r="E182" i="1"/>
  <c r="E190" i="1"/>
  <c r="E198" i="1"/>
  <c r="E47" i="1"/>
  <c r="E55" i="1"/>
  <c r="E63" i="1"/>
  <c r="E71" i="1"/>
  <c r="E79" i="1"/>
  <c r="E87" i="1"/>
  <c r="E95" i="1"/>
  <c r="E103" i="1"/>
  <c r="E111" i="1"/>
  <c r="E119" i="1"/>
  <c r="E127" i="1"/>
  <c r="E135" i="1"/>
  <c r="E143" i="1"/>
  <c r="E151" i="1"/>
  <c r="E159" i="1"/>
  <c r="E167" i="1"/>
  <c r="E175" i="1"/>
  <c r="E183" i="1"/>
  <c r="E191" i="1"/>
  <c r="E199" i="1"/>
  <c r="E40" i="1"/>
  <c r="E48" i="1"/>
  <c r="E56" i="1"/>
  <c r="E64" i="1"/>
  <c r="E72" i="1"/>
  <c r="E80" i="1"/>
  <c r="E88" i="1"/>
  <c r="E96" i="1"/>
  <c r="E104" i="1"/>
  <c r="E112" i="1"/>
  <c r="E120" i="1"/>
  <c r="E128" i="1"/>
  <c r="E136" i="1"/>
  <c r="E144" i="1"/>
  <c r="E152" i="1"/>
  <c r="E160" i="1"/>
  <c r="E168" i="1"/>
  <c r="E176" i="1"/>
  <c r="E184" i="1"/>
  <c r="E192" i="1"/>
  <c r="E41" i="1"/>
  <c r="E49" i="1"/>
  <c r="E57" i="1"/>
  <c r="E65" i="1"/>
  <c r="E73" i="1"/>
  <c r="E81" i="1"/>
  <c r="E89" i="1"/>
  <c r="E97" i="1"/>
  <c r="E105" i="1"/>
  <c r="E113" i="1"/>
  <c r="E121" i="1"/>
  <c r="E129" i="1"/>
  <c r="E137" i="1"/>
  <c r="E145" i="1"/>
  <c r="E153" i="1"/>
  <c r="E161" i="1"/>
  <c r="E169" i="1"/>
  <c r="E177" i="1"/>
  <c r="E185" i="1"/>
  <c r="E193" i="1"/>
  <c r="E98" i="1"/>
  <c r="E162" i="1"/>
  <c r="E42" i="1"/>
  <c r="E106" i="1"/>
  <c r="E170" i="1"/>
  <c r="E74" i="1"/>
  <c r="E154" i="1"/>
  <c r="E50" i="1"/>
  <c r="E114" i="1"/>
  <c r="E178" i="1"/>
  <c r="E90" i="1"/>
  <c r="E58" i="1"/>
  <c r="E122" i="1"/>
  <c r="E186" i="1"/>
  <c r="E66" i="1"/>
  <c r="E130" i="1"/>
  <c r="E194" i="1"/>
  <c r="E138" i="1"/>
  <c r="E82" i="1"/>
  <c r="E146" i="1"/>
  <c r="Z5" i="1" a="1"/>
  <c r="Y5" i="1" a="1"/>
  <c r="Y12" i="1" l="1"/>
  <c r="Y20" i="1"/>
  <c r="Y28" i="1"/>
  <c r="Y36" i="1"/>
  <c r="Y44" i="1"/>
  <c r="Y52" i="1"/>
  <c r="Y60" i="1"/>
  <c r="Y68" i="1"/>
  <c r="Y76" i="1"/>
  <c r="Y84" i="1"/>
  <c r="Y92" i="1"/>
  <c r="Y100" i="1"/>
  <c r="Y108" i="1"/>
  <c r="Y116" i="1"/>
  <c r="Y124" i="1"/>
  <c r="Y132" i="1"/>
  <c r="Y140" i="1"/>
  <c r="Y148" i="1"/>
  <c r="Y156" i="1"/>
  <c r="Y164" i="1"/>
  <c r="Y172" i="1"/>
  <c r="Y180" i="1"/>
  <c r="Y188" i="1"/>
  <c r="Y196" i="1"/>
  <c r="Y204" i="1"/>
  <c r="Y212" i="1"/>
  <c r="Y220" i="1"/>
  <c r="Y228" i="1"/>
  <c r="Y236" i="1"/>
  <c r="Y244" i="1"/>
  <c r="Y252" i="1"/>
  <c r="Y260" i="1"/>
  <c r="Y268" i="1"/>
  <c r="Y276" i="1"/>
  <c r="Y284" i="1"/>
  <c r="Y292" i="1"/>
  <c r="Y300" i="1"/>
  <c r="Y308" i="1"/>
  <c r="Y316" i="1"/>
  <c r="Y324" i="1"/>
  <c r="Y332" i="1"/>
  <c r="Y340" i="1"/>
  <c r="Y348" i="1"/>
  <c r="Y356" i="1"/>
  <c r="Y364" i="1"/>
  <c r="Y372" i="1"/>
  <c r="Y380" i="1"/>
  <c r="Y388" i="1"/>
  <c r="Y396" i="1"/>
  <c r="Y404" i="1"/>
  <c r="Y412" i="1"/>
  <c r="Y420" i="1"/>
  <c r="Y428" i="1"/>
  <c r="Y436" i="1"/>
  <c r="Y444" i="1"/>
  <c r="Y452" i="1"/>
  <c r="Y460" i="1"/>
  <c r="Y468" i="1"/>
  <c r="Y476" i="1"/>
  <c r="Y484" i="1"/>
  <c r="Y492" i="1"/>
  <c r="Y500" i="1"/>
  <c r="Y508" i="1"/>
  <c r="Y516" i="1"/>
  <c r="Y524" i="1"/>
  <c r="Y532" i="1"/>
  <c r="Y540" i="1"/>
  <c r="Y548" i="1"/>
  <c r="Y556" i="1"/>
  <c r="Y564" i="1"/>
  <c r="Y572" i="1"/>
  <c r="Y580" i="1"/>
  <c r="Y588" i="1"/>
  <c r="Y596" i="1"/>
  <c r="Y604" i="1"/>
  <c r="Y612" i="1"/>
  <c r="Y620" i="1"/>
  <c r="Y628" i="1"/>
  <c r="Y636" i="1"/>
  <c r="Y644" i="1"/>
  <c r="Y652" i="1"/>
  <c r="Y660" i="1"/>
  <c r="Y668" i="1"/>
  <c r="Y5" i="1"/>
  <c r="Y13" i="1"/>
  <c r="Y21" i="1"/>
  <c r="Y29" i="1"/>
  <c r="Y37" i="1"/>
  <c r="Y45" i="1"/>
  <c r="Y53" i="1"/>
  <c r="Y61" i="1"/>
  <c r="Y69" i="1"/>
  <c r="Y77" i="1"/>
  <c r="Y85" i="1"/>
  <c r="Y93" i="1"/>
  <c r="Y101" i="1"/>
  <c r="Y109" i="1"/>
  <c r="Y117" i="1"/>
  <c r="Y125" i="1"/>
  <c r="Y133" i="1"/>
  <c r="Y141" i="1"/>
  <c r="Y149" i="1"/>
  <c r="Y157" i="1"/>
  <c r="Y165" i="1"/>
  <c r="Y173" i="1"/>
  <c r="Y181" i="1"/>
  <c r="Y189" i="1"/>
  <c r="Y197" i="1"/>
  <c r="Y205" i="1"/>
  <c r="Y213" i="1"/>
  <c r="Y221" i="1"/>
  <c r="Y229" i="1"/>
  <c r="Y237" i="1"/>
  <c r="Y245" i="1"/>
  <c r="Y253" i="1"/>
  <c r="Y261" i="1"/>
  <c r="Y269" i="1"/>
  <c r="Y277" i="1"/>
  <c r="Y285" i="1"/>
  <c r="Y293" i="1"/>
  <c r="Y301" i="1"/>
  <c r="Y309" i="1"/>
  <c r="Y317" i="1"/>
  <c r="Y325" i="1"/>
  <c r="Y333" i="1"/>
  <c r="Y341" i="1"/>
  <c r="Y349" i="1"/>
  <c r="Y357" i="1"/>
  <c r="Y365" i="1"/>
  <c r="Y373" i="1"/>
  <c r="Y381" i="1"/>
  <c r="Y389" i="1"/>
  <c r="Y397" i="1"/>
  <c r="Y405" i="1"/>
  <c r="Y413" i="1"/>
  <c r="Y421" i="1"/>
  <c r="Y429" i="1"/>
  <c r="Y437" i="1"/>
  <c r="Y445" i="1"/>
  <c r="Y453" i="1"/>
  <c r="Y461" i="1"/>
  <c r="Y469" i="1"/>
  <c r="Y477" i="1"/>
  <c r="Y485" i="1"/>
  <c r="Y493" i="1"/>
  <c r="Y501" i="1"/>
  <c r="Y509" i="1"/>
  <c r="Y517" i="1"/>
  <c r="Y525" i="1"/>
  <c r="Y533" i="1"/>
  <c r="Y541" i="1"/>
  <c r="Y549" i="1"/>
  <c r="Y557" i="1"/>
  <c r="Y565" i="1"/>
  <c r="Y573" i="1"/>
  <c r="Y581" i="1"/>
  <c r="Y589" i="1"/>
  <c r="Y597" i="1"/>
  <c r="Y605" i="1"/>
  <c r="Y613" i="1"/>
  <c r="Y621" i="1"/>
  <c r="Y629" i="1"/>
  <c r="Y637" i="1"/>
  <c r="Y645" i="1"/>
  <c r="Y653" i="1"/>
  <c r="Y661" i="1"/>
  <c r="Y669" i="1"/>
  <c r="Y677" i="1"/>
  <c r="Y6" i="1"/>
  <c r="Y14" i="1"/>
  <c r="Y22" i="1"/>
  <c r="Y30" i="1"/>
  <c r="Y38" i="1"/>
  <c r="Y46" i="1"/>
  <c r="Y54" i="1"/>
  <c r="Y62" i="1"/>
  <c r="Y70" i="1"/>
  <c r="Y78" i="1"/>
  <c r="Y86" i="1"/>
  <c r="Y94" i="1"/>
  <c r="Y102" i="1"/>
  <c r="Y110" i="1"/>
  <c r="Y118" i="1"/>
  <c r="Y126" i="1"/>
  <c r="Y134" i="1"/>
  <c r="Y142" i="1"/>
  <c r="Y150" i="1"/>
  <c r="Y158" i="1"/>
  <c r="Y166" i="1"/>
  <c r="Y174" i="1"/>
  <c r="Y182" i="1"/>
  <c r="Y190" i="1"/>
  <c r="Y198" i="1"/>
  <c r="Y206" i="1"/>
  <c r="Y214" i="1"/>
  <c r="Y222" i="1"/>
  <c r="Y230" i="1"/>
  <c r="Y238" i="1"/>
  <c r="Y246" i="1"/>
  <c r="Y254" i="1"/>
  <c r="Y262" i="1"/>
  <c r="Y270" i="1"/>
  <c r="Y278" i="1"/>
  <c r="Y286" i="1"/>
  <c r="Y294" i="1"/>
  <c r="Y302" i="1"/>
  <c r="Y310" i="1"/>
  <c r="Y318" i="1"/>
  <c r="Y326" i="1"/>
  <c r="Y334" i="1"/>
  <c r="Y342" i="1"/>
  <c r="Y350" i="1"/>
  <c r="Y358" i="1"/>
  <c r="Y366" i="1"/>
  <c r="Y374" i="1"/>
  <c r="Y382" i="1"/>
  <c r="Y390" i="1"/>
  <c r="Y398" i="1"/>
  <c r="Y406" i="1"/>
  <c r="Y414" i="1"/>
  <c r="Y422" i="1"/>
  <c r="Y430" i="1"/>
  <c r="Y438" i="1"/>
  <c r="Y446" i="1"/>
  <c r="Y454" i="1"/>
  <c r="Y462" i="1"/>
  <c r="Y470" i="1"/>
  <c r="Y478" i="1"/>
  <c r="Y486" i="1"/>
  <c r="Y494" i="1"/>
  <c r="Y502" i="1"/>
  <c r="Y510" i="1"/>
  <c r="Y518" i="1"/>
  <c r="Y526" i="1"/>
  <c r="Y534" i="1"/>
  <c r="Y542" i="1"/>
  <c r="Y550" i="1"/>
  <c r="Y558" i="1"/>
  <c r="Y566" i="1"/>
  <c r="Y574" i="1"/>
  <c r="Y582" i="1"/>
  <c r="Y590" i="1"/>
  <c r="Y598" i="1"/>
  <c r="Y606" i="1"/>
  <c r="Y614" i="1"/>
  <c r="Y622" i="1"/>
  <c r="Y630" i="1"/>
  <c r="Y638" i="1"/>
  <c r="Y646" i="1"/>
  <c r="Y654" i="1"/>
  <c r="Y662" i="1"/>
  <c r="Y670" i="1"/>
  <c r="Y678" i="1"/>
  <c r="Y7" i="1"/>
  <c r="Y15" i="1"/>
  <c r="Y23" i="1"/>
  <c r="Y31" i="1"/>
  <c r="Y39" i="1"/>
  <c r="Y47" i="1"/>
  <c r="Y55" i="1"/>
  <c r="Y63" i="1"/>
  <c r="Y71" i="1"/>
  <c r="Y79" i="1"/>
  <c r="Y87" i="1"/>
  <c r="Y95" i="1"/>
  <c r="Y103" i="1"/>
  <c r="Y111" i="1"/>
  <c r="Y119" i="1"/>
  <c r="Y127" i="1"/>
  <c r="Y135" i="1"/>
  <c r="Y143" i="1"/>
  <c r="Y151" i="1"/>
  <c r="Y159" i="1"/>
  <c r="Y167" i="1"/>
  <c r="Y175" i="1"/>
  <c r="Y183" i="1"/>
  <c r="Y191" i="1"/>
  <c r="Y199" i="1"/>
  <c r="Y207" i="1"/>
  <c r="Y215" i="1"/>
  <c r="Y223" i="1"/>
  <c r="Y231" i="1"/>
  <c r="Y239" i="1"/>
  <c r="Y247" i="1"/>
  <c r="Y255" i="1"/>
  <c r="Y263" i="1"/>
  <c r="Y271" i="1"/>
  <c r="Y279" i="1"/>
  <c r="Y287" i="1"/>
  <c r="Y295" i="1"/>
  <c r="Y303" i="1"/>
  <c r="Y311" i="1"/>
  <c r="Y319" i="1"/>
  <c r="Y327" i="1"/>
  <c r="Y335" i="1"/>
  <c r="Y343" i="1"/>
  <c r="Y351" i="1"/>
  <c r="Y359" i="1"/>
  <c r="Y367" i="1"/>
  <c r="Y375" i="1"/>
  <c r="Y383" i="1"/>
  <c r="Y391" i="1"/>
  <c r="Y399" i="1"/>
  <c r="Y407" i="1"/>
  <c r="Y415" i="1"/>
  <c r="Y423" i="1"/>
  <c r="Y431" i="1"/>
  <c r="Y439" i="1"/>
  <c r="Y447" i="1"/>
  <c r="Y455" i="1"/>
  <c r="Y463" i="1"/>
  <c r="Y471" i="1"/>
  <c r="Y479" i="1"/>
  <c r="Y487" i="1"/>
  <c r="Y495" i="1"/>
  <c r="Y503" i="1"/>
  <c r="Y511" i="1"/>
  <c r="Y519" i="1"/>
  <c r="Y527" i="1"/>
  <c r="Y535" i="1"/>
  <c r="Y543" i="1"/>
  <c r="Y551" i="1"/>
  <c r="Y559" i="1"/>
  <c r="Y567" i="1"/>
  <c r="Y575" i="1"/>
  <c r="Y583" i="1"/>
  <c r="Y591" i="1"/>
  <c r="Y599" i="1"/>
  <c r="Y607" i="1"/>
  <c r="Y615" i="1"/>
  <c r="Y623" i="1"/>
  <c r="Y631" i="1"/>
  <c r="Y639" i="1"/>
  <c r="Y647" i="1"/>
  <c r="Y655" i="1"/>
  <c r="Y663" i="1"/>
  <c r="Y671" i="1"/>
  <c r="Y679" i="1"/>
  <c r="Y8" i="1"/>
  <c r="Y16" i="1"/>
  <c r="Y24" i="1"/>
  <c r="Y32" i="1"/>
  <c r="Y40" i="1"/>
  <c r="Y48" i="1"/>
  <c r="Y56" i="1"/>
  <c r="Y64" i="1"/>
  <c r="Y72" i="1"/>
  <c r="Y80" i="1"/>
  <c r="Y88" i="1"/>
  <c r="Y96" i="1"/>
  <c r="Y104" i="1"/>
  <c r="Y112" i="1"/>
  <c r="Y120" i="1"/>
  <c r="Y128" i="1"/>
  <c r="Y136" i="1"/>
  <c r="Y144" i="1"/>
  <c r="Y152" i="1"/>
  <c r="Y160" i="1"/>
  <c r="Y168" i="1"/>
  <c r="Y176" i="1"/>
  <c r="Y184" i="1"/>
  <c r="Y192" i="1"/>
  <c r="Y200" i="1"/>
  <c r="Y208" i="1"/>
  <c r="Y216" i="1"/>
  <c r="Y224" i="1"/>
  <c r="Y232" i="1"/>
  <c r="Y240" i="1"/>
  <c r="Y248" i="1"/>
  <c r="Y256" i="1"/>
  <c r="Y264" i="1"/>
  <c r="Y272" i="1"/>
  <c r="Y280" i="1"/>
  <c r="Y288" i="1"/>
  <c r="Y296" i="1"/>
  <c r="Y304" i="1"/>
  <c r="Y312" i="1"/>
  <c r="Y320" i="1"/>
  <c r="Y328" i="1"/>
  <c r="Y336" i="1"/>
  <c r="Y344" i="1"/>
  <c r="Y352" i="1"/>
  <c r="Y360" i="1"/>
  <c r="Y368" i="1"/>
  <c r="Y376" i="1"/>
  <c r="Y384" i="1"/>
  <c r="Y392" i="1"/>
  <c r="Y400" i="1"/>
  <c r="Y408" i="1"/>
  <c r="Y416" i="1"/>
  <c r="Y424" i="1"/>
  <c r="Y432" i="1"/>
  <c r="Y440" i="1"/>
  <c r="Y448" i="1"/>
  <c r="Y456" i="1"/>
  <c r="Y464" i="1"/>
  <c r="Y472" i="1"/>
  <c r="Y480" i="1"/>
  <c r="Y488" i="1"/>
  <c r="Y496" i="1"/>
  <c r="Y504" i="1"/>
  <c r="Y512" i="1"/>
  <c r="Y520" i="1"/>
  <c r="Y528" i="1"/>
  <c r="Y536" i="1"/>
  <c r="Y544" i="1"/>
  <c r="Y552" i="1"/>
  <c r="Y560" i="1"/>
  <c r="Y568" i="1"/>
  <c r="Y576" i="1"/>
  <c r="Y584" i="1"/>
  <c r="Y592" i="1"/>
  <c r="Y600" i="1"/>
  <c r="Y608" i="1"/>
  <c r="Y616" i="1"/>
  <c r="Y624" i="1"/>
  <c r="Y632" i="1"/>
  <c r="Y640" i="1"/>
  <c r="Y648" i="1"/>
  <c r="Y656" i="1"/>
  <c r="Y664" i="1"/>
  <c r="Y672" i="1"/>
  <c r="Y680" i="1"/>
  <c r="Y9" i="1"/>
  <c r="Y17" i="1"/>
  <c r="Y25" i="1"/>
  <c r="Y33" i="1"/>
  <c r="Y41" i="1"/>
  <c r="Y49" i="1"/>
  <c r="Y57" i="1"/>
  <c r="Y65" i="1"/>
  <c r="Y73" i="1"/>
  <c r="Y81" i="1"/>
  <c r="Y89" i="1"/>
  <c r="Y97" i="1"/>
  <c r="Y105" i="1"/>
  <c r="Y113" i="1"/>
  <c r="Y121" i="1"/>
  <c r="Y129" i="1"/>
  <c r="Y137" i="1"/>
  <c r="Y145" i="1"/>
  <c r="Y153" i="1"/>
  <c r="Y161" i="1"/>
  <c r="Y169" i="1"/>
  <c r="Y177" i="1"/>
  <c r="Y185" i="1"/>
  <c r="Y193" i="1"/>
  <c r="Y201" i="1"/>
  <c r="Y209" i="1"/>
  <c r="Y217" i="1"/>
  <c r="Y225" i="1"/>
  <c r="Y233" i="1"/>
  <c r="Y241" i="1"/>
  <c r="Y249" i="1"/>
  <c r="Y257" i="1"/>
  <c r="Y265" i="1"/>
  <c r="Y273" i="1"/>
  <c r="Y281" i="1"/>
  <c r="Y289" i="1"/>
  <c r="Y297" i="1"/>
  <c r="Y305" i="1"/>
  <c r="Y313" i="1"/>
  <c r="Y321" i="1"/>
  <c r="Y329" i="1"/>
  <c r="Y337" i="1"/>
  <c r="Y345" i="1"/>
  <c r="Y353" i="1"/>
  <c r="Y361" i="1"/>
  <c r="Y369" i="1"/>
  <c r="Y377" i="1"/>
  <c r="Y385" i="1"/>
  <c r="Y393" i="1"/>
  <c r="Y401" i="1"/>
  <c r="Y409" i="1"/>
  <c r="Y417" i="1"/>
  <c r="Y425" i="1"/>
  <c r="Y433" i="1"/>
  <c r="Y441" i="1"/>
  <c r="Y449" i="1"/>
  <c r="Y457" i="1"/>
  <c r="Y465" i="1"/>
  <c r="Y473" i="1"/>
  <c r="Y481" i="1"/>
  <c r="Y489" i="1"/>
  <c r="Y497" i="1"/>
  <c r="Y505" i="1"/>
  <c r="Y513" i="1"/>
  <c r="Y521" i="1"/>
  <c r="Y529" i="1"/>
  <c r="Y537" i="1"/>
  <c r="Y545" i="1"/>
  <c r="Y553" i="1"/>
  <c r="Y561" i="1"/>
  <c r="Y569" i="1"/>
  <c r="Y577" i="1"/>
  <c r="Y585" i="1"/>
  <c r="Y593" i="1"/>
  <c r="Y601" i="1"/>
  <c r="Y609" i="1"/>
  <c r="Y617" i="1"/>
  <c r="Y625" i="1"/>
  <c r="Y633" i="1"/>
  <c r="Y641" i="1"/>
  <c r="Y649" i="1"/>
  <c r="Y657" i="1"/>
  <c r="Y665" i="1"/>
  <c r="Y673" i="1"/>
  <c r="Y681" i="1"/>
  <c r="Y10" i="1"/>
  <c r="Y18" i="1"/>
  <c r="Y26" i="1"/>
  <c r="Y34" i="1"/>
  <c r="Y42" i="1"/>
  <c r="Y50" i="1"/>
  <c r="Y58" i="1"/>
  <c r="Y66" i="1"/>
  <c r="Y74" i="1"/>
  <c r="Y82" i="1"/>
  <c r="Y90" i="1"/>
  <c r="Y98" i="1"/>
  <c r="Y106" i="1"/>
  <c r="Y114" i="1"/>
  <c r="Y122" i="1"/>
  <c r="Y130" i="1"/>
  <c r="Y138" i="1"/>
  <c r="Y146" i="1"/>
  <c r="Y154" i="1"/>
  <c r="Y162" i="1"/>
  <c r="Y170" i="1"/>
  <c r="Y178" i="1"/>
  <c r="Y186" i="1"/>
  <c r="Y194" i="1"/>
  <c r="Y202" i="1"/>
  <c r="Y210" i="1"/>
  <c r="Y218" i="1"/>
  <c r="Y226" i="1"/>
  <c r="Y234" i="1"/>
  <c r="Y242" i="1"/>
  <c r="Y250" i="1"/>
  <c r="Y258" i="1"/>
  <c r="Y266" i="1"/>
  <c r="Y274" i="1"/>
  <c r="Y282" i="1"/>
  <c r="Y290" i="1"/>
  <c r="Y298" i="1"/>
  <c r="Y306" i="1"/>
  <c r="Y314" i="1"/>
  <c r="Y322" i="1"/>
  <c r="Y330" i="1"/>
  <c r="Y338" i="1"/>
  <c r="Y346" i="1"/>
  <c r="Y354" i="1"/>
  <c r="Y362" i="1"/>
  <c r="Y370" i="1"/>
  <c r="Y378" i="1"/>
  <c r="Y386" i="1"/>
  <c r="Y394" i="1"/>
  <c r="Y402" i="1"/>
  <c r="Y410" i="1"/>
  <c r="Y418" i="1"/>
  <c r="Y426" i="1"/>
  <c r="Y434" i="1"/>
  <c r="Y442" i="1"/>
  <c r="Y450" i="1"/>
  <c r="Y458" i="1"/>
  <c r="Y466" i="1"/>
  <c r="Y474" i="1"/>
  <c r="Y482" i="1"/>
  <c r="Y490" i="1"/>
  <c r="Y498" i="1"/>
  <c r="Y506" i="1"/>
  <c r="Y514" i="1"/>
  <c r="Y522" i="1"/>
  <c r="Y530" i="1"/>
  <c r="Y538" i="1"/>
  <c r="Y546" i="1"/>
  <c r="Y554" i="1"/>
  <c r="Y562" i="1"/>
  <c r="Y570" i="1"/>
  <c r="Y578" i="1"/>
  <c r="Y586" i="1"/>
  <c r="Y594" i="1"/>
  <c r="Y602" i="1"/>
  <c r="Y610" i="1"/>
  <c r="Y618" i="1"/>
  <c r="Y626" i="1"/>
  <c r="Y634" i="1"/>
  <c r="Y642" i="1"/>
  <c r="Y650" i="1"/>
  <c r="Y658" i="1"/>
  <c r="Y666" i="1"/>
  <c r="Y674" i="1"/>
  <c r="Y682" i="1"/>
  <c r="Y35" i="1"/>
  <c r="Y99" i="1"/>
  <c r="Y163" i="1"/>
  <c r="Y227" i="1"/>
  <c r="Y291" i="1"/>
  <c r="Y355" i="1"/>
  <c r="Y419" i="1"/>
  <c r="Y483" i="1"/>
  <c r="Y547" i="1"/>
  <c r="Y611" i="1"/>
  <c r="Y675" i="1"/>
  <c r="Y689" i="1"/>
  <c r="Y697" i="1"/>
  <c r="Y705" i="1"/>
  <c r="Y713" i="1"/>
  <c r="Y721" i="1"/>
  <c r="Y729" i="1"/>
  <c r="Y737" i="1"/>
  <c r="Y745" i="1"/>
  <c r="Y753" i="1"/>
  <c r="Y761" i="1"/>
  <c r="Y769" i="1"/>
  <c r="Y777" i="1"/>
  <c r="Y785" i="1"/>
  <c r="Y793" i="1"/>
  <c r="Y801" i="1"/>
  <c r="Y809" i="1"/>
  <c r="Y817" i="1"/>
  <c r="Y825" i="1"/>
  <c r="Y833" i="1"/>
  <c r="Y841" i="1"/>
  <c r="Y849" i="1"/>
  <c r="Y857" i="1"/>
  <c r="Y865" i="1"/>
  <c r="Y873" i="1"/>
  <c r="Y881" i="1"/>
  <c r="Y889" i="1"/>
  <c r="Y897" i="1"/>
  <c r="Y905" i="1"/>
  <c r="Y913" i="1"/>
  <c r="Y921" i="1"/>
  <c r="Y929" i="1"/>
  <c r="Y937" i="1"/>
  <c r="Y945" i="1"/>
  <c r="Y953" i="1"/>
  <c r="Y961" i="1"/>
  <c r="Y969" i="1"/>
  <c r="Y977" i="1"/>
  <c r="Y985" i="1"/>
  <c r="Y993" i="1"/>
  <c r="Y1001" i="1"/>
  <c r="Y43" i="1"/>
  <c r="Y107" i="1"/>
  <c r="Y171" i="1"/>
  <c r="Y235" i="1"/>
  <c r="Y299" i="1"/>
  <c r="Y363" i="1"/>
  <c r="Y427" i="1"/>
  <c r="Y491" i="1"/>
  <c r="Y555" i="1"/>
  <c r="Y619" i="1"/>
  <c r="Y676" i="1"/>
  <c r="Y690" i="1"/>
  <c r="Y698" i="1"/>
  <c r="Y706" i="1"/>
  <c r="Y714" i="1"/>
  <c r="Y722" i="1"/>
  <c r="Y730" i="1"/>
  <c r="Y738" i="1"/>
  <c r="Y746" i="1"/>
  <c r="Y754" i="1"/>
  <c r="Y762" i="1"/>
  <c r="Y770" i="1"/>
  <c r="Y778" i="1"/>
  <c r="Y786" i="1"/>
  <c r="Y794" i="1"/>
  <c r="Y802" i="1"/>
  <c r="Y810" i="1"/>
  <c r="Y818" i="1"/>
  <c r="Y826" i="1"/>
  <c r="Y834" i="1"/>
  <c r="Y842" i="1"/>
  <c r="Y850" i="1"/>
  <c r="Y858" i="1"/>
  <c r="Y866" i="1"/>
  <c r="Y51" i="1"/>
  <c r="Y115" i="1"/>
  <c r="Y179" i="1"/>
  <c r="Y243" i="1"/>
  <c r="Y307" i="1"/>
  <c r="Y371" i="1"/>
  <c r="Y435" i="1"/>
  <c r="Y499" i="1"/>
  <c r="Y563" i="1"/>
  <c r="Y627" i="1"/>
  <c r="Y683" i="1"/>
  <c r="Y691" i="1"/>
  <c r="Y699" i="1"/>
  <c r="Y707" i="1"/>
  <c r="Y715" i="1"/>
  <c r="Y723" i="1"/>
  <c r="Y731" i="1"/>
  <c r="Y739" i="1"/>
  <c r="Y747" i="1"/>
  <c r="Y755" i="1"/>
  <c r="Y763" i="1"/>
  <c r="Y771" i="1"/>
  <c r="Y779" i="1"/>
  <c r="Y787" i="1"/>
  <c r="Y795" i="1"/>
  <c r="Y803" i="1"/>
  <c r="Y811" i="1"/>
  <c r="Y819" i="1"/>
  <c r="Y827" i="1"/>
  <c r="Y835" i="1"/>
  <c r="Y843" i="1"/>
  <c r="Y851" i="1"/>
  <c r="Y859" i="1"/>
  <c r="Y867" i="1"/>
  <c r="Y875" i="1"/>
  <c r="Y883" i="1"/>
  <c r="Y891" i="1"/>
  <c r="Y899" i="1"/>
  <c r="Y907" i="1"/>
  <c r="Y915" i="1"/>
  <c r="Y923" i="1"/>
  <c r="Y931" i="1"/>
  <c r="Y939" i="1"/>
  <c r="Y947" i="1"/>
  <c r="Y955" i="1"/>
  <c r="Y963" i="1"/>
  <c r="Y971" i="1"/>
  <c r="Y979" i="1"/>
  <c r="Y987" i="1"/>
  <c r="Y995" i="1"/>
  <c r="Y1003" i="1"/>
  <c r="Y59" i="1"/>
  <c r="Y123" i="1"/>
  <c r="Y187" i="1"/>
  <c r="Y251" i="1"/>
  <c r="Y315" i="1"/>
  <c r="Y379" i="1"/>
  <c r="Y443" i="1"/>
  <c r="Y507" i="1"/>
  <c r="Y571" i="1"/>
  <c r="Y635" i="1"/>
  <c r="Y684" i="1"/>
  <c r="Y692" i="1"/>
  <c r="Y700" i="1"/>
  <c r="Y708" i="1"/>
  <c r="Y716" i="1"/>
  <c r="Y724" i="1"/>
  <c r="Y732" i="1"/>
  <c r="Y740" i="1"/>
  <c r="Y748" i="1"/>
  <c r="Y756" i="1"/>
  <c r="Y764" i="1"/>
  <c r="Y772" i="1"/>
  <c r="Y780" i="1"/>
  <c r="Y788" i="1"/>
  <c r="Y796" i="1"/>
  <c r="Y804" i="1"/>
  <c r="Y812" i="1"/>
  <c r="Y820" i="1"/>
  <c r="Y828" i="1"/>
  <c r="Y836" i="1"/>
  <c r="Y844" i="1"/>
  <c r="Y852" i="1"/>
  <c r="Y860" i="1"/>
  <c r="Y868" i="1"/>
  <c r="Y876" i="1"/>
  <c r="Y884" i="1"/>
  <c r="Y892" i="1"/>
  <c r="Y900" i="1"/>
  <c r="Y908" i="1"/>
  <c r="Y916" i="1"/>
  <c r="Y924" i="1"/>
  <c r="Y932" i="1"/>
  <c r="Y940" i="1"/>
  <c r="Y948" i="1"/>
  <c r="Y956" i="1"/>
  <c r="Y964" i="1"/>
  <c r="Y972" i="1"/>
  <c r="Y980" i="1"/>
  <c r="Y988" i="1"/>
  <c r="Y996" i="1"/>
  <c r="Y1004" i="1"/>
  <c r="Y11" i="1"/>
  <c r="Y139" i="1"/>
  <c r="Y267" i="1"/>
  <c r="Y395" i="1"/>
  <c r="Y523" i="1"/>
  <c r="Y651" i="1"/>
  <c r="Y694" i="1"/>
  <c r="Y710" i="1"/>
  <c r="Y726" i="1"/>
  <c r="Y742" i="1"/>
  <c r="Y758" i="1"/>
  <c r="Y774" i="1"/>
  <c r="Y790" i="1"/>
  <c r="Y806" i="1"/>
  <c r="Y822" i="1"/>
  <c r="Y838" i="1"/>
  <c r="Y854" i="1"/>
  <c r="Y870" i="1"/>
  <c r="Y882" i="1"/>
  <c r="Y895" i="1"/>
  <c r="Y909" i="1"/>
  <c r="Y920" i="1"/>
  <c r="Y934" i="1"/>
  <c r="Y946" i="1"/>
  <c r="Y959" i="1"/>
  <c r="Y973" i="1"/>
  <c r="Y984" i="1"/>
  <c r="Y998" i="1"/>
  <c r="Y19" i="1"/>
  <c r="Y147" i="1"/>
  <c r="Y275" i="1"/>
  <c r="Y403" i="1"/>
  <c r="Y531" i="1"/>
  <c r="Y659" i="1"/>
  <c r="Y695" i="1"/>
  <c r="Y711" i="1"/>
  <c r="Y727" i="1"/>
  <c r="Y743" i="1"/>
  <c r="Y759" i="1"/>
  <c r="Y775" i="1"/>
  <c r="Y791" i="1"/>
  <c r="Y807" i="1"/>
  <c r="Y823" i="1"/>
  <c r="Y839" i="1"/>
  <c r="Y855" i="1"/>
  <c r="Y871" i="1"/>
  <c r="Y885" i="1"/>
  <c r="Y896" i="1"/>
  <c r="Y910" i="1"/>
  <c r="Y922" i="1"/>
  <c r="Y935" i="1"/>
  <c r="Y949" i="1"/>
  <c r="Y960" i="1"/>
  <c r="Y974" i="1"/>
  <c r="Y986" i="1"/>
  <c r="Y999" i="1"/>
  <c r="Y155" i="1"/>
  <c r="Y667" i="1"/>
  <c r="Y744" i="1"/>
  <c r="Y808" i="1"/>
  <c r="Y898" i="1"/>
  <c r="Y975" i="1"/>
  <c r="Y67" i="1"/>
  <c r="Y195" i="1"/>
  <c r="Y323" i="1"/>
  <c r="Y451" i="1"/>
  <c r="Y579" i="1"/>
  <c r="Y685" i="1"/>
  <c r="Y701" i="1"/>
  <c r="Y717" i="1"/>
  <c r="Y733" i="1"/>
  <c r="Y749" i="1"/>
  <c r="Y765" i="1"/>
  <c r="Y781" i="1"/>
  <c r="Y797" i="1"/>
  <c r="Y813" i="1"/>
  <c r="Y829" i="1"/>
  <c r="Y845" i="1"/>
  <c r="Y861" i="1"/>
  <c r="Y874" i="1"/>
  <c r="Y887" i="1"/>
  <c r="Y901" i="1"/>
  <c r="Y912" i="1"/>
  <c r="Y926" i="1"/>
  <c r="Y938" i="1"/>
  <c r="Y951" i="1"/>
  <c r="Y965" i="1"/>
  <c r="Y976" i="1"/>
  <c r="Y990" i="1"/>
  <c r="Y1002" i="1"/>
  <c r="Y75" i="1"/>
  <c r="Y331" i="1"/>
  <c r="Y459" i="1"/>
  <c r="Y587" i="1"/>
  <c r="Y686" i="1"/>
  <c r="Y702" i="1"/>
  <c r="Y718" i="1"/>
  <c r="Y734" i="1"/>
  <c r="Y766" i="1"/>
  <c r="Y782" i="1"/>
  <c r="Y798" i="1"/>
  <c r="Y814" i="1"/>
  <c r="Y830" i="1"/>
  <c r="Y846" i="1"/>
  <c r="Y862" i="1"/>
  <c r="Y877" i="1"/>
  <c r="Y902" i="1"/>
  <c r="Y914" i="1"/>
  <c r="Y927" i="1"/>
  <c r="Y941" i="1"/>
  <c r="Y952" i="1"/>
  <c r="Y978" i="1"/>
  <c r="Y991" i="1"/>
  <c r="Y1005" i="1"/>
  <c r="Y259" i="1"/>
  <c r="Y515" i="1"/>
  <c r="Y693" i="1"/>
  <c r="Y741" i="1"/>
  <c r="Y773" i="1"/>
  <c r="Y805" i="1"/>
  <c r="Y853" i="1"/>
  <c r="Y906" i="1"/>
  <c r="Y970" i="1"/>
  <c r="Y411" i="1"/>
  <c r="Y728" i="1"/>
  <c r="Y776" i="1"/>
  <c r="Y840" i="1"/>
  <c r="Y911" i="1"/>
  <c r="Y989" i="1"/>
  <c r="Y203" i="1"/>
  <c r="Y750" i="1"/>
  <c r="Y888" i="1"/>
  <c r="Y966" i="1"/>
  <c r="Y709" i="1"/>
  <c r="Y821" i="1"/>
  <c r="Y894" i="1"/>
  <c r="Y944" i="1"/>
  <c r="Y997" i="1"/>
  <c r="Y283" i="1"/>
  <c r="Y696" i="1"/>
  <c r="Y760" i="1"/>
  <c r="Y824" i="1"/>
  <c r="Y886" i="1"/>
  <c r="Y950" i="1"/>
  <c r="Y83" i="1"/>
  <c r="Y211" i="1"/>
  <c r="Y339" i="1"/>
  <c r="Y467" i="1"/>
  <c r="Y595" i="1"/>
  <c r="Y687" i="1"/>
  <c r="Y703" i="1"/>
  <c r="Y719" i="1"/>
  <c r="Y735" i="1"/>
  <c r="Y751" i="1"/>
  <c r="Y767" i="1"/>
  <c r="Y783" i="1"/>
  <c r="Y799" i="1"/>
  <c r="Y815" i="1"/>
  <c r="Y831" i="1"/>
  <c r="Y847" i="1"/>
  <c r="Y863" i="1"/>
  <c r="Y878" i="1"/>
  <c r="Y890" i="1"/>
  <c r="Y903" i="1"/>
  <c r="Y917" i="1"/>
  <c r="Y928" i="1"/>
  <c r="Y942" i="1"/>
  <c r="Y954" i="1"/>
  <c r="Y967" i="1"/>
  <c r="Y981" i="1"/>
  <c r="Y992" i="1"/>
  <c r="Y757" i="1"/>
  <c r="Y869" i="1"/>
  <c r="Y933" i="1"/>
  <c r="Y983" i="1"/>
  <c r="Y27" i="1"/>
  <c r="Y712" i="1"/>
  <c r="Y792" i="1"/>
  <c r="Y872" i="1"/>
  <c r="Y925" i="1"/>
  <c r="Y962" i="1"/>
  <c r="Y91" i="1"/>
  <c r="Y219" i="1"/>
  <c r="Y347" i="1"/>
  <c r="Y475" i="1"/>
  <c r="Y603" i="1"/>
  <c r="Y688" i="1"/>
  <c r="Y704" i="1"/>
  <c r="Y720" i="1"/>
  <c r="Y736" i="1"/>
  <c r="Y752" i="1"/>
  <c r="Y768" i="1"/>
  <c r="Y784" i="1"/>
  <c r="Y800" i="1"/>
  <c r="Y816" i="1"/>
  <c r="Y832" i="1"/>
  <c r="Y848" i="1"/>
  <c r="Y864" i="1"/>
  <c r="Y879" i="1"/>
  <c r="Y893" i="1"/>
  <c r="Y904" i="1"/>
  <c r="Y918" i="1"/>
  <c r="Y930" i="1"/>
  <c r="Y943" i="1"/>
  <c r="Y957" i="1"/>
  <c r="Y968" i="1"/>
  <c r="Y982" i="1"/>
  <c r="Y994" i="1"/>
  <c r="Y131" i="1"/>
  <c r="Y387" i="1"/>
  <c r="Y643" i="1"/>
  <c r="Y725" i="1"/>
  <c r="Y789" i="1"/>
  <c r="Y837" i="1"/>
  <c r="Y880" i="1"/>
  <c r="Y919" i="1"/>
  <c r="Y958" i="1"/>
  <c r="Y539" i="1"/>
  <c r="Y856" i="1"/>
  <c r="Y936" i="1"/>
  <c r="Y1000" i="1"/>
  <c r="AA5" i="1"/>
  <c r="C25" i="1" s="1"/>
  <c r="AA9" i="1"/>
  <c r="AA13" i="1"/>
  <c r="AA17" i="1"/>
  <c r="AA21" i="1"/>
  <c r="AA25" i="1"/>
  <c r="AA29" i="1"/>
  <c r="AA33" i="1"/>
  <c r="AA37" i="1"/>
  <c r="AA41" i="1"/>
  <c r="AA45" i="1"/>
  <c r="AA49" i="1"/>
  <c r="AA53" i="1"/>
  <c r="AA57" i="1"/>
  <c r="AA61" i="1"/>
  <c r="AA65" i="1"/>
  <c r="AA69" i="1"/>
  <c r="AA73" i="1"/>
  <c r="AA77" i="1"/>
  <c r="AA81" i="1"/>
  <c r="AA85" i="1"/>
  <c r="AA89" i="1"/>
  <c r="AA93" i="1"/>
  <c r="AA97" i="1"/>
  <c r="AA101" i="1"/>
  <c r="AA105" i="1"/>
  <c r="AA109" i="1"/>
  <c r="AA113" i="1"/>
  <c r="AA117" i="1"/>
  <c r="AA121" i="1"/>
  <c r="AA125" i="1"/>
  <c r="AA129" i="1"/>
  <c r="AA133" i="1"/>
  <c r="AA137" i="1"/>
  <c r="AA141" i="1"/>
  <c r="AA145" i="1"/>
  <c r="AA149" i="1"/>
  <c r="AA153" i="1"/>
  <c r="AA157" i="1"/>
  <c r="AA161" i="1"/>
  <c r="AA165" i="1"/>
  <c r="AA169" i="1"/>
  <c r="AA173" i="1"/>
  <c r="AA177" i="1"/>
  <c r="AA181" i="1"/>
  <c r="AA185" i="1"/>
  <c r="AA189" i="1"/>
  <c r="AA193" i="1"/>
  <c r="AA197" i="1"/>
  <c r="AA201" i="1"/>
  <c r="AA205" i="1"/>
  <c r="AA209" i="1"/>
  <c r="AA213" i="1"/>
  <c r="AA217" i="1"/>
  <c r="AA221" i="1"/>
  <c r="AA225" i="1"/>
  <c r="AA229" i="1"/>
  <c r="AA233" i="1"/>
  <c r="AA237" i="1"/>
  <c r="AA241" i="1"/>
  <c r="AA245" i="1"/>
  <c r="AA249" i="1"/>
  <c r="AA253" i="1"/>
  <c r="AA257" i="1"/>
  <c r="AA261" i="1"/>
  <c r="AA265" i="1"/>
  <c r="AA269" i="1"/>
  <c r="AA273" i="1"/>
  <c r="AA277" i="1"/>
  <c r="AA281" i="1"/>
  <c r="AA285" i="1"/>
  <c r="AA289" i="1"/>
  <c r="AA293" i="1"/>
  <c r="AA297" i="1"/>
  <c r="AA301" i="1"/>
  <c r="AA305" i="1"/>
  <c r="AA309" i="1"/>
  <c r="AA313" i="1"/>
  <c r="AA317" i="1"/>
  <c r="AA321" i="1"/>
  <c r="AA325" i="1"/>
  <c r="AA329" i="1"/>
  <c r="AA333" i="1"/>
  <c r="AA337" i="1"/>
  <c r="AA341" i="1"/>
  <c r="Z6" i="1"/>
  <c r="Z10" i="1"/>
  <c r="Z14" i="1"/>
  <c r="Z18" i="1"/>
  <c r="Z22" i="1"/>
  <c r="Z26" i="1"/>
  <c r="Z30" i="1"/>
  <c r="Z34" i="1"/>
  <c r="Z38" i="1"/>
  <c r="Z42" i="1"/>
  <c r="Z46" i="1"/>
  <c r="Z50" i="1"/>
  <c r="Z54" i="1"/>
  <c r="Z58" i="1"/>
  <c r="Z62" i="1"/>
  <c r="Z66" i="1"/>
  <c r="Z70" i="1"/>
  <c r="Z74" i="1"/>
  <c r="Z78" i="1"/>
  <c r="Z82" i="1"/>
  <c r="Z86" i="1"/>
  <c r="Z90" i="1"/>
  <c r="Z94" i="1"/>
  <c r="Z98" i="1"/>
  <c r="Z102" i="1"/>
  <c r="Z106" i="1"/>
  <c r="Z110" i="1"/>
  <c r="Z114" i="1"/>
  <c r="Z118" i="1"/>
  <c r="Z122" i="1"/>
  <c r="Z126" i="1"/>
  <c r="Z130" i="1"/>
  <c r="Z134" i="1"/>
  <c r="Z138" i="1"/>
  <c r="Z142" i="1"/>
  <c r="Z146" i="1"/>
  <c r="Z150" i="1"/>
  <c r="Z154" i="1"/>
  <c r="Z158" i="1"/>
  <c r="Z162" i="1"/>
  <c r="Z166" i="1"/>
  <c r="Z170" i="1"/>
  <c r="Z174" i="1"/>
  <c r="Z178" i="1"/>
  <c r="Z182" i="1"/>
  <c r="Z186" i="1"/>
  <c r="Z190" i="1"/>
  <c r="Z194" i="1"/>
  <c r="Z198" i="1"/>
  <c r="Z202" i="1"/>
  <c r="Z206" i="1"/>
  <c r="Z210" i="1"/>
  <c r="Z214" i="1"/>
  <c r="Z218" i="1"/>
  <c r="Z222" i="1"/>
  <c r="Z226" i="1"/>
  <c r="Z230" i="1"/>
  <c r="Z234" i="1"/>
  <c r="Z238" i="1"/>
  <c r="Z242" i="1"/>
  <c r="Z246" i="1"/>
  <c r="Z250" i="1"/>
  <c r="Z254" i="1"/>
  <c r="Z258" i="1"/>
  <c r="Z262" i="1"/>
  <c r="Z266" i="1"/>
  <c r="Z270" i="1"/>
  <c r="Z274" i="1"/>
  <c r="Z278" i="1"/>
  <c r="Z282" i="1"/>
  <c r="Z286" i="1"/>
  <c r="Z290" i="1"/>
  <c r="Z294" i="1"/>
  <c r="Z298" i="1"/>
  <c r="Z302" i="1"/>
  <c r="Z306" i="1"/>
  <c r="Z310" i="1"/>
  <c r="Z314" i="1"/>
  <c r="Z318" i="1"/>
  <c r="Z322" i="1"/>
  <c r="Z326" i="1"/>
  <c r="Z330" i="1"/>
  <c r="Z334" i="1"/>
  <c r="Z338" i="1"/>
  <c r="Z342" i="1"/>
  <c r="Z7" i="1"/>
  <c r="Z11" i="1"/>
  <c r="Z15" i="1"/>
  <c r="Z19" i="1"/>
  <c r="Z23" i="1"/>
  <c r="Z27" i="1"/>
  <c r="Z31" i="1"/>
  <c r="Z35" i="1"/>
  <c r="Z39" i="1"/>
  <c r="Z43" i="1"/>
  <c r="Z47" i="1"/>
  <c r="Z51" i="1"/>
  <c r="Z55" i="1"/>
  <c r="Z59" i="1"/>
  <c r="Z63" i="1"/>
  <c r="Z67" i="1"/>
  <c r="Z71" i="1"/>
  <c r="Z75" i="1"/>
  <c r="Z79" i="1"/>
  <c r="Z83" i="1"/>
  <c r="Z87" i="1"/>
  <c r="Z91" i="1"/>
  <c r="Z95" i="1"/>
  <c r="Z99" i="1"/>
  <c r="Z103" i="1"/>
  <c r="Z107" i="1"/>
  <c r="Z111" i="1"/>
  <c r="Z115" i="1"/>
  <c r="Z119" i="1"/>
  <c r="Z123" i="1"/>
  <c r="Z127" i="1"/>
  <c r="Z131" i="1"/>
  <c r="Z135" i="1"/>
  <c r="Z139" i="1"/>
  <c r="Z143" i="1"/>
  <c r="Z147" i="1"/>
  <c r="Z151" i="1"/>
  <c r="Z155" i="1"/>
  <c r="Z159" i="1"/>
  <c r="Z163" i="1"/>
  <c r="Z167" i="1"/>
  <c r="Z171" i="1"/>
  <c r="Z175" i="1"/>
  <c r="Z179" i="1"/>
  <c r="Z183" i="1"/>
  <c r="Z187" i="1"/>
  <c r="Z191" i="1"/>
  <c r="Z195" i="1"/>
  <c r="Z199" i="1"/>
  <c r="Z203" i="1"/>
  <c r="Z207" i="1"/>
  <c r="Z211" i="1"/>
  <c r="Z215" i="1"/>
  <c r="Z219" i="1"/>
  <c r="Z223" i="1"/>
  <c r="Z227" i="1"/>
  <c r="Z231" i="1"/>
  <c r="Z235" i="1"/>
  <c r="Z239" i="1"/>
  <c r="Z243" i="1"/>
  <c r="Z247" i="1"/>
  <c r="Z251" i="1"/>
  <c r="Z255" i="1"/>
  <c r="Z259" i="1"/>
  <c r="Z263" i="1"/>
  <c r="Z267" i="1"/>
  <c r="Z271" i="1"/>
  <c r="Z275" i="1"/>
  <c r="Z279" i="1"/>
  <c r="Z283" i="1"/>
  <c r="Z287" i="1"/>
  <c r="Z291" i="1"/>
  <c r="Z295" i="1"/>
  <c r="Z299" i="1"/>
  <c r="Z303" i="1"/>
  <c r="Z307" i="1"/>
  <c r="Z311" i="1"/>
  <c r="Z315" i="1"/>
  <c r="Z319" i="1"/>
  <c r="Z323" i="1"/>
  <c r="Z327" i="1"/>
  <c r="Z331" i="1"/>
  <c r="Z335" i="1"/>
  <c r="Z339" i="1"/>
  <c r="Z343" i="1"/>
  <c r="AA6" i="1"/>
  <c r="AA12" i="1"/>
  <c r="AA19" i="1"/>
  <c r="Z25" i="1"/>
  <c r="Z32" i="1"/>
  <c r="AA38" i="1"/>
  <c r="AA44" i="1"/>
  <c r="AA51" i="1"/>
  <c r="Z57" i="1"/>
  <c r="Z64" i="1"/>
  <c r="AA70" i="1"/>
  <c r="AA76" i="1"/>
  <c r="AA83" i="1"/>
  <c r="Z89" i="1"/>
  <c r="Z96" i="1"/>
  <c r="AA102" i="1"/>
  <c r="AA108" i="1"/>
  <c r="AA115" i="1"/>
  <c r="Z121" i="1"/>
  <c r="Z128" i="1"/>
  <c r="AA134" i="1"/>
  <c r="AA140" i="1"/>
  <c r="AA147" i="1"/>
  <c r="Z153" i="1"/>
  <c r="Z160" i="1"/>
  <c r="AA166" i="1"/>
  <c r="AA172" i="1"/>
  <c r="AA179" i="1"/>
  <c r="Z185" i="1"/>
  <c r="Z192" i="1"/>
  <c r="AA198" i="1"/>
  <c r="AA204" i="1"/>
  <c r="AA211" i="1"/>
  <c r="Z217" i="1"/>
  <c r="Z224" i="1"/>
  <c r="AA230" i="1"/>
  <c r="AA236" i="1"/>
  <c r="AA243" i="1"/>
  <c r="Z249" i="1"/>
  <c r="Z256" i="1"/>
  <c r="AA262" i="1"/>
  <c r="AA268" i="1"/>
  <c r="AA275" i="1"/>
  <c r="Z281" i="1"/>
  <c r="Z288" i="1"/>
  <c r="AA294" i="1"/>
  <c r="AA300" i="1"/>
  <c r="AA307" i="1"/>
  <c r="Z313" i="1"/>
  <c r="Z320" i="1"/>
  <c r="AA326" i="1"/>
  <c r="AA332" i="1"/>
  <c r="AA339" i="1"/>
  <c r="Z345" i="1"/>
  <c r="Z349" i="1"/>
  <c r="Z353" i="1"/>
  <c r="Z357" i="1"/>
  <c r="Z361" i="1"/>
  <c r="Z365" i="1"/>
  <c r="Z369" i="1"/>
  <c r="Z373" i="1"/>
  <c r="Z377" i="1"/>
  <c r="Z381" i="1"/>
  <c r="Z385" i="1"/>
  <c r="Z389" i="1"/>
  <c r="Z393" i="1"/>
  <c r="Z397" i="1"/>
  <c r="Z401" i="1"/>
  <c r="Z405" i="1"/>
  <c r="Z409" i="1"/>
  <c r="Z413" i="1"/>
  <c r="Z417" i="1"/>
  <c r="Z421" i="1"/>
  <c r="Z425" i="1"/>
  <c r="Z429" i="1"/>
  <c r="Z433" i="1"/>
  <c r="Z437" i="1"/>
  <c r="Z441" i="1"/>
  <c r="Z445" i="1"/>
  <c r="Z449" i="1"/>
  <c r="Z453" i="1"/>
  <c r="Z457" i="1"/>
  <c r="Z461" i="1"/>
  <c r="Z465" i="1"/>
  <c r="Z469" i="1"/>
  <c r="Z473" i="1"/>
  <c r="Z477" i="1"/>
  <c r="Z481" i="1"/>
  <c r="Z485" i="1"/>
  <c r="Z489" i="1"/>
  <c r="Z493" i="1"/>
  <c r="Z497" i="1"/>
  <c r="Z501" i="1"/>
  <c r="Z505" i="1"/>
  <c r="Z509" i="1"/>
  <c r="Z513" i="1"/>
  <c r="Z517" i="1"/>
  <c r="AA7" i="1"/>
  <c r="Z13" i="1"/>
  <c r="Z20" i="1"/>
  <c r="AA26" i="1"/>
  <c r="AA32" i="1"/>
  <c r="AA39" i="1"/>
  <c r="Z45" i="1"/>
  <c r="Z52" i="1"/>
  <c r="AA58" i="1"/>
  <c r="AA64" i="1"/>
  <c r="AA71" i="1"/>
  <c r="Z77" i="1"/>
  <c r="Z84" i="1"/>
  <c r="AA90" i="1"/>
  <c r="AA96" i="1"/>
  <c r="AA103" i="1"/>
  <c r="Z109" i="1"/>
  <c r="Z116" i="1"/>
  <c r="AA122" i="1"/>
  <c r="AA128" i="1"/>
  <c r="AA135" i="1"/>
  <c r="Z141" i="1"/>
  <c r="Z148" i="1"/>
  <c r="AA154" i="1"/>
  <c r="AA160" i="1"/>
  <c r="AA167" i="1"/>
  <c r="Z173" i="1"/>
  <c r="Z180" i="1"/>
  <c r="AA186" i="1"/>
  <c r="AA192" i="1"/>
  <c r="AA199" i="1"/>
  <c r="Z205" i="1"/>
  <c r="Z212" i="1"/>
  <c r="AA218" i="1"/>
  <c r="AA224" i="1"/>
  <c r="AA231" i="1"/>
  <c r="Z237" i="1"/>
  <c r="Z244" i="1"/>
  <c r="AA250" i="1"/>
  <c r="AA256" i="1"/>
  <c r="AA263" i="1"/>
  <c r="Z269" i="1"/>
  <c r="Z276" i="1"/>
  <c r="AA282" i="1"/>
  <c r="AA288" i="1"/>
  <c r="AA295" i="1"/>
  <c r="Z301" i="1"/>
  <c r="Z308" i="1"/>
  <c r="AA314" i="1"/>
  <c r="AA320" i="1"/>
  <c r="AA327" i="1"/>
  <c r="Z333" i="1"/>
  <c r="Z340" i="1"/>
  <c r="AA345" i="1"/>
  <c r="AA349" i="1"/>
  <c r="AA353" i="1"/>
  <c r="AA357" i="1"/>
  <c r="AA361" i="1"/>
  <c r="AA365" i="1"/>
  <c r="AA369" i="1"/>
  <c r="AA373" i="1"/>
  <c r="AA377" i="1"/>
  <c r="AA381" i="1"/>
  <c r="AA385" i="1"/>
  <c r="AA389" i="1"/>
  <c r="AA393" i="1"/>
  <c r="AA397" i="1"/>
  <c r="AA401" i="1"/>
  <c r="AA405" i="1"/>
  <c r="AA409" i="1"/>
  <c r="AA413" i="1"/>
  <c r="AA417" i="1"/>
  <c r="AA421" i="1"/>
  <c r="AA425" i="1"/>
  <c r="AA429" i="1"/>
  <c r="AA433" i="1"/>
  <c r="AA8" i="1"/>
  <c r="AA15" i="1"/>
  <c r="Z21" i="1"/>
  <c r="Z28" i="1"/>
  <c r="AA34" i="1"/>
  <c r="AA40" i="1"/>
  <c r="AA47" i="1"/>
  <c r="Z53" i="1"/>
  <c r="Z60" i="1"/>
  <c r="AA66" i="1"/>
  <c r="AA72" i="1"/>
  <c r="AA79" i="1"/>
  <c r="Z85" i="1"/>
  <c r="Z92" i="1"/>
  <c r="AA98" i="1"/>
  <c r="AA104" i="1"/>
  <c r="AA111" i="1"/>
  <c r="Z117" i="1"/>
  <c r="Z124" i="1"/>
  <c r="AA130" i="1"/>
  <c r="AA136" i="1"/>
  <c r="AA143" i="1"/>
  <c r="Z149" i="1"/>
  <c r="Z156" i="1"/>
  <c r="AA162" i="1"/>
  <c r="AA168" i="1"/>
  <c r="AA175" i="1"/>
  <c r="Z181" i="1"/>
  <c r="Z188" i="1"/>
  <c r="AA194" i="1"/>
  <c r="AA200" i="1"/>
  <c r="AA207" i="1"/>
  <c r="Z213" i="1"/>
  <c r="Z220" i="1"/>
  <c r="AA226" i="1"/>
  <c r="AA232" i="1"/>
  <c r="AA239" i="1"/>
  <c r="Z245" i="1"/>
  <c r="Z252" i="1"/>
  <c r="AA258" i="1"/>
  <c r="AA264" i="1"/>
  <c r="AA271" i="1"/>
  <c r="Z277" i="1"/>
  <c r="Z284" i="1"/>
  <c r="AA290" i="1"/>
  <c r="AA296" i="1"/>
  <c r="AA303" i="1"/>
  <c r="Z309" i="1"/>
  <c r="Z316" i="1"/>
  <c r="AA322" i="1"/>
  <c r="AA328" i="1"/>
  <c r="AA335" i="1"/>
  <c r="Z341" i="1"/>
  <c r="AA346" i="1"/>
  <c r="AA350" i="1"/>
  <c r="AA354" i="1"/>
  <c r="AA358" i="1"/>
  <c r="AA362" i="1"/>
  <c r="AA366" i="1"/>
  <c r="AA370" i="1"/>
  <c r="AA374" i="1"/>
  <c r="AA378" i="1"/>
  <c r="AA382" i="1"/>
  <c r="AA386" i="1"/>
  <c r="AA390" i="1"/>
  <c r="AA394" i="1"/>
  <c r="AA398" i="1"/>
  <c r="AA402" i="1"/>
  <c r="AA406" i="1"/>
  <c r="AA410" i="1"/>
  <c r="AA414" i="1"/>
  <c r="AA418" i="1"/>
  <c r="AA422" i="1"/>
  <c r="AA426" i="1"/>
  <c r="AA430" i="1"/>
  <c r="AA434" i="1"/>
  <c r="AA438" i="1"/>
  <c r="AA442" i="1"/>
  <c r="AA446" i="1"/>
  <c r="AA450" i="1"/>
  <c r="AA454" i="1"/>
  <c r="AA458" i="1"/>
  <c r="AA462" i="1"/>
  <c r="AA466" i="1"/>
  <c r="AA470" i="1"/>
  <c r="Z8" i="1"/>
  <c r="Z17" i="1"/>
  <c r="AA28" i="1"/>
  <c r="Z37" i="1"/>
  <c r="AA48" i="1"/>
  <c r="AA59" i="1"/>
  <c r="AA68" i="1"/>
  <c r="Z80" i="1"/>
  <c r="AA88" i="1"/>
  <c r="Z100" i="1"/>
  <c r="AA110" i="1"/>
  <c r="Z120" i="1"/>
  <c r="AA131" i="1"/>
  <c r="Z140" i="1"/>
  <c r="AA151" i="1"/>
  <c r="Z161" i="1"/>
  <c r="AA171" i="1"/>
  <c r="AA182" i="1"/>
  <c r="AA191" i="1"/>
  <c r="AA202" i="1"/>
  <c r="AA212" i="1"/>
  <c r="AA222" i="1"/>
  <c r="Z233" i="1"/>
  <c r="AA242" i="1"/>
  <c r="Z253" i="1"/>
  <c r="Z264" i="1"/>
  <c r="Z273" i="1"/>
  <c r="AA284" i="1"/>
  <c r="Z293" i="1"/>
  <c r="AA304" i="1"/>
  <c r="AA315" i="1"/>
  <c r="AA324" i="1"/>
  <c r="Z336" i="1"/>
  <c r="AA344" i="1"/>
  <c r="AA351" i="1"/>
  <c r="Z358" i="1"/>
  <c r="Z364" i="1"/>
  <c r="Z371" i="1"/>
  <c r="AA376" i="1"/>
  <c r="AA383" i="1"/>
  <c r="Z390" i="1"/>
  <c r="Z396" i="1"/>
  <c r="Z403" i="1"/>
  <c r="AA408" i="1"/>
  <c r="AA415" i="1"/>
  <c r="Z422" i="1"/>
  <c r="Z428" i="1"/>
  <c r="Z435" i="1"/>
  <c r="Z440" i="1"/>
  <c r="AA445" i="1"/>
  <c r="Z451" i="1"/>
  <c r="Z456" i="1"/>
  <c r="AA461" i="1"/>
  <c r="Z467" i="1"/>
  <c r="Z472" i="1"/>
  <c r="AA476" i="1"/>
  <c r="AA481" i="1"/>
  <c r="Z486" i="1"/>
  <c r="AA490" i="1"/>
  <c r="Z495" i="1"/>
  <c r="AA499" i="1"/>
  <c r="Z504" i="1"/>
  <c r="AA508" i="1"/>
  <c r="AA513" i="1"/>
  <c r="Z518" i="1"/>
  <c r="Z522" i="1"/>
  <c r="Z526" i="1"/>
  <c r="Z530" i="1"/>
  <c r="Z534" i="1"/>
  <c r="Z538" i="1"/>
  <c r="Z542" i="1"/>
  <c r="Z546" i="1"/>
  <c r="Z550" i="1"/>
  <c r="Z554" i="1"/>
  <c r="Z558" i="1"/>
  <c r="Z562" i="1"/>
  <c r="Z566" i="1"/>
  <c r="Z570" i="1"/>
  <c r="Z574" i="1"/>
  <c r="Z578" i="1"/>
  <c r="Z582" i="1"/>
  <c r="Z586" i="1"/>
  <c r="Z590" i="1"/>
  <c r="Z594" i="1"/>
  <c r="Z598" i="1"/>
  <c r="Z602" i="1"/>
  <c r="Z606" i="1"/>
  <c r="Z610" i="1"/>
  <c r="Z614" i="1"/>
  <c r="Z618" i="1"/>
  <c r="Z622" i="1"/>
  <c r="Z626" i="1"/>
  <c r="Z630" i="1"/>
  <c r="Z634" i="1"/>
  <c r="Z638" i="1"/>
  <c r="Z642" i="1"/>
  <c r="Z646" i="1"/>
  <c r="Z650" i="1"/>
  <c r="Z654" i="1"/>
  <c r="Z658" i="1"/>
  <c r="Z662" i="1"/>
  <c r="Z666" i="1"/>
  <c r="Z670" i="1"/>
  <c r="Z674" i="1"/>
  <c r="Z678" i="1"/>
  <c r="Z682" i="1"/>
  <c r="Z686" i="1"/>
  <c r="Z690" i="1"/>
  <c r="Z694" i="1"/>
  <c r="Z698" i="1"/>
  <c r="Z702" i="1"/>
  <c r="Z706" i="1"/>
  <c r="Z710" i="1"/>
  <c r="Z714" i="1"/>
  <c r="Z718" i="1"/>
  <c r="Z722" i="1"/>
  <c r="Z726" i="1"/>
  <c r="Z730" i="1"/>
  <c r="Z734" i="1"/>
  <c r="Z738" i="1"/>
  <c r="Z742" i="1"/>
  <c r="Z746" i="1"/>
  <c r="Z750" i="1"/>
  <c r="Z754" i="1"/>
  <c r="Z758" i="1"/>
  <c r="Z762" i="1"/>
  <c r="Z766" i="1"/>
  <c r="Z770" i="1"/>
  <c r="Z774" i="1"/>
  <c r="Z778" i="1"/>
  <c r="Z782" i="1"/>
  <c r="Z786" i="1"/>
  <c r="Z790" i="1"/>
  <c r="Z794" i="1"/>
  <c r="Z798" i="1"/>
  <c r="Z802" i="1"/>
  <c r="Z806" i="1"/>
  <c r="Z810" i="1"/>
  <c r="Z814" i="1"/>
  <c r="Z818" i="1"/>
  <c r="Z822" i="1"/>
  <c r="Z826" i="1"/>
  <c r="Z830" i="1"/>
  <c r="Z834" i="1"/>
  <c r="Z838" i="1"/>
  <c r="Z842" i="1"/>
  <c r="Z846" i="1"/>
  <c r="Z850" i="1"/>
  <c r="Z854" i="1"/>
  <c r="Z858" i="1"/>
  <c r="Z862" i="1"/>
  <c r="Z866" i="1"/>
  <c r="Z870" i="1"/>
  <c r="Z874" i="1"/>
  <c r="Z878" i="1"/>
  <c r="Z882" i="1"/>
  <c r="Z886" i="1"/>
  <c r="Z890" i="1"/>
  <c r="Z894" i="1"/>
  <c r="Z898" i="1"/>
  <c r="Z902" i="1"/>
  <c r="Z906" i="1"/>
  <c r="Z910" i="1"/>
  <c r="Z914" i="1"/>
  <c r="Z918" i="1"/>
  <c r="Z922" i="1"/>
  <c r="Z926" i="1"/>
  <c r="Z930" i="1"/>
  <c r="Z934" i="1"/>
  <c r="Z938" i="1"/>
  <c r="Z9" i="1"/>
  <c r="AA18" i="1"/>
  <c r="Z29" i="1"/>
  <c r="Z40" i="1"/>
  <c r="Z49" i="1"/>
  <c r="AA60" i="1"/>
  <c r="Z69" i="1"/>
  <c r="AA80" i="1"/>
  <c r="AA91" i="1"/>
  <c r="AA100" i="1"/>
  <c r="Z112" i="1"/>
  <c r="AA120" i="1"/>
  <c r="Z132" i="1"/>
  <c r="AA142" i="1"/>
  <c r="Z152" i="1"/>
  <c r="AA163" i="1"/>
  <c r="Z172" i="1"/>
  <c r="AA183" i="1"/>
  <c r="Z193" i="1"/>
  <c r="AA203" i="1"/>
  <c r="AA214" i="1"/>
  <c r="AA223" i="1"/>
  <c r="AA234" i="1"/>
  <c r="AA244" i="1"/>
  <c r="AA254" i="1"/>
  <c r="Z265" i="1"/>
  <c r="AA274" i="1"/>
  <c r="Z285" i="1"/>
  <c r="Z296" i="1"/>
  <c r="Z305" i="1"/>
  <c r="AA316" i="1"/>
  <c r="Z325" i="1"/>
  <c r="AA336" i="1"/>
  <c r="Z346" i="1"/>
  <c r="Z352" i="1"/>
  <c r="Z359" i="1"/>
  <c r="AA364" i="1"/>
  <c r="AA371" i="1"/>
  <c r="Z378" i="1"/>
  <c r="Z384" i="1"/>
  <c r="Z391" i="1"/>
  <c r="AA396" i="1"/>
  <c r="AA403" i="1"/>
  <c r="Z410" i="1"/>
  <c r="Z416" i="1"/>
  <c r="Z423" i="1"/>
  <c r="AA428" i="1"/>
  <c r="AA435" i="1"/>
  <c r="AA440" i="1"/>
  <c r="Z446" i="1"/>
  <c r="AA451" i="1"/>
  <c r="AA456" i="1"/>
  <c r="Z462" i="1"/>
  <c r="AA467" i="1"/>
  <c r="AA472" i="1"/>
  <c r="AA477" i="1"/>
  <c r="Z482" i="1"/>
  <c r="AA486" i="1"/>
  <c r="Z491" i="1"/>
  <c r="AA495" i="1"/>
  <c r="Z500" i="1"/>
  <c r="AA504" i="1"/>
  <c r="AA509" i="1"/>
  <c r="Z514" i="1"/>
  <c r="AA518" i="1"/>
  <c r="AA522" i="1"/>
  <c r="AA526" i="1"/>
  <c r="AA530" i="1"/>
  <c r="AA534" i="1"/>
  <c r="AA538" i="1"/>
  <c r="AA542" i="1"/>
  <c r="AA546" i="1"/>
  <c r="AA550" i="1"/>
  <c r="AA554" i="1"/>
  <c r="AA558" i="1"/>
  <c r="AA562" i="1"/>
  <c r="AA566" i="1"/>
  <c r="AA570" i="1"/>
  <c r="AA574" i="1"/>
  <c r="AA578" i="1"/>
  <c r="AA582" i="1"/>
  <c r="AA586" i="1"/>
  <c r="AA590" i="1"/>
  <c r="AA594" i="1"/>
  <c r="AA598" i="1"/>
  <c r="AA602" i="1"/>
  <c r="AA606" i="1"/>
  <c r="AA610" i="1"/>
  <c r="AA614" i="1"/>
  <c r="AA618" i="1"/>
  <c r="AA622" i="1"/>
  <c r="AA626" i="1"/>
  <c r="AA630" i="1"/>
  <c r="AA634" i="1"/>
  <c r="AA638" i="1"/>
  <c r="AA642" i="1"/>
  <c r="AA646" i="1"/>
  <c r="AA650" i="1"/>
  <c r="AA654" i="1"/>
  <c r="AA658" i="1"/>
  <c r="AA662" i="1"/>
  <c r="AA666" i="1"/>
  <c r="AA670" i="1"/>
  <c r="AA674" i="1"/>
  <c r="AA678" i="1"/>
  <c r="AA682" i="1"/>
  <c r="AA686" i="1"/>
  <c r="AA690" i="1"/>
  <c r="AA694" i="1"/>
  <c r="AA698" i="1"/>
  <c r="AA702" i="1"/>
  <c r="AA706" i="1"/>
  <c r="AA710" i="1"/>
  <c r="AA714" i="1"/>
  <c r="AA718" i="1"/>
  <c r="AA722" i="1"/>
  <c r="AA726" i="1"/>
  <c r="AA730" i="1"/>
  <c r="AA734" i="1"/>
  <c r="AA738" i="1"/>
  <c r="AA742" i="1"/>
  <c r="AA746" i="1"/>
  <c r="AA750" i="1"/>
  <c r="AA754" i="1"/>
  <c r="AA758" i="1"/>
  <c r="AA762" i="1"/>
  <c r="AA766" i="1"/>
  <c r="AA770" i="1"/>
  <c r="AA774" i="1"/>
  <c r="AA778" i="1"/>
  <c r="AA782" i="1"/>
  <c r="AA786" i="1"/>
  <c r="AA790" i="1"/>
  <c r="AA794" i="1"/>
  <c r="AA798" i="1"/>
  <c r="AA802" i="1"/>
  <c r="AA806" i="1"/>
  <c r="AA810" i="1"/>
  <c r="AA814" i="1"/>
  <c r="AA818" i="1"/>
  <c r="AA822" i="1"/>
  <c r="AA826" i="1"/>
  <c r="AA830" i="1"/>
  <c r="AA834" i="1"/>
  <c r="AA838" i="1"/>
  <c r="AA842" i="1"/>
  <c r="AA846" i="1"/>
  <c r="AA850" i="1"/>
  <c r="AA854" i="1"/>
  <c r="AA858" i="1"/>
  <c r="AA862" i="1"/>
  <c r="AA866" i="1"/>
  <c r="AA870" i="1"/>
  <c r="AA874" i="1"/>
  <c r="AA878" i="1"/>
  <c r="AA882" i="1"/>
  <c r="AA886" i="1"/>
  <c r="AA890" i="1"/>
  <c r="AA894" i="1"/>
  <c r="AA898" i="1"/>
  <c r="AA902" i="1"/>
  <c r="AA906" i="1"/>
  <c r="AA910" i="1"/>
  <c r="AA914" i="1"/>
  <c r="AA918" i="1"/>
  <c r="AA922" i="1"/>
  <c r="AA926" i="1"/>
  <c r="AA930" i="1"/>
  <c r="AA934" i="1"/>
  <c r="AA938" i="1"/>
  <c r="AA11" i="1"/>
  <c r="AA22" i="1"/>
  <c r="AA31" i="1"/>
  <c r="AA42" i="1"/>
  <c r="AA52" i="1"/>
  <c r="AA62" i="1"/>
  <c r="Z73" i="1"/>
  <c r="AA82" i="1"/>
  <c r="Z93" i="1"/>
  <c r="Z104" i="1"/>
  <c r="Z113" i="1"/>
  <c r="AA124" i="1"/>
  <c r="Z133" i="1"/>
  <c r="AA144" i="1"/>
  <c r="AA155" i="1"/>
  <c r="AA164" i="1"/>
  <c r="Z176" i="1"/>
  <c r="AA184" i="1"/>
  <c r="Z196" i="1"/>
  <c r="AA206" i="1"/>
  <c r="Z216" i="1"/>
  <c r="AA227" i="1"/>
  <c r="Z236" i="1"/>
  <c r="AA247" i="1"/>
  <c r="Z257" i="1"/>
  <c r="AA267" i="1"/>
  <c r="AA278" i="1"/>
  <c r="AA287" i="1"/>
  <c r="AA298" i="1"/>
  <c r="AA308" i="1"/>
  <c r="AA318" i="1"/>
  <c r="Z329" i="1"/>
  <c r="AA338" i="1"/>
  <c r="AA347" i="1"/>
  <c r="Z354" i="1"/>
  <c r="Z360" i="1"/>
  <c r="Z367" i="1"/>
  <c r="AA372" i="1"/>
  <c r="AA379" i="1"/>
  <c r="Z386" i="1"/>
  <c r="Z392" i="1"/>
  <c r="Z399" i="1"/>
  <c r="AA404" i="1"/>
  <c r="AA411" i="1"/>
  <c r="Z418" i="1"/>
  <c r="Z424" i="1"/>
  <c r="Z431" i="1"/>
  <c r="AA436" i="1"/>
  <c r="Z442" i="1"/>
  <c r="AA447" i="1"/>
  <c r="AA452" i="1"/>
  <c r="Z458" i="1"/>
  <c r="AA463" i="1"/>
  <c r="AA468" i="1"/>
  <c r="Z474" i="1"/>
  <c r="AA478" i="1"/>
  <c r="Z483" i="1"/>
  <c r="AA487" i="1"/>
  <c r="Z492" i="1"/>
  <c r="AA496" i="1"/>
  <c r="AA501" i="1"/>
  <c r="Z506" i="1"/>
  <c r="AA510" i="1"/>
  <c r="Z515" i="1"/>
  <c r="AA519" i="1"/>
  <c r="AA523" i="1"/>
  <c r="AA527" i="1"/>
  <c r="AA531" i="1"/>
  <c r="AA535" i="1"/>
  <c r="AA539" i="1"/>
  <c r="AA543" i="1"/>
  <c r="AA547" i="1"/>
  <c r="AA551" i="1"/>
  <c r="AA555" i="1"/>
  <c r="AA559" i="1"/>
  <c r="AA563" i="1"/>
  <c r="AA567" i="1"/>
  <c r="AA571" i="1"/>
  <c r="AA575" i="1"/>
  <c r="AA579" i="1"/>
  <c r="AA583" i="1"/>
  <c r="AA587" i="1"/>
  <c r="AA591" i="1"/>
  <c r="AA595" i="1"/>
  <c r="AA599" i="1"/>
  <c r="AA603" i="1"/>
  <c r="AA607" i="1"/>
  <c r="AA611" i="1"/>
  <c r="AA615" i="1"/>
  <c r="AA619" i="1"/>
  <c r="AA623" i="1"/>
  <c r="AA627" i="1"/>
  <c r="AA631" i="1"/>
  <c r="AA635" i="1"/>
  <c r="AA639" i="1"/>
  <c r="AA643" i="1"/>
  <c r="AA647" i="1"/>
  <c r="AA651" i="1"/>
  <c r="AA655" i="1"/>
  <c r="AA659" i="1"/>
  <c r="AA663" i="1"/>
  <c r="AA667" i="1"/>
  <c r="AA671" i="1"/>
  <c r="AA675" i="1"/>
  <c r="AA679" i="1"/>
  <c r="AA683" i="1"/>
  <c r="AA687" i="1"/>
  <c r="AA691" i="1"/>
  <c r="AA695" i="1"/>
  <c r="AA699" i="1"/>
  <c r="AA703" i="1"/>
  <c r="AA707" i="1"/>
  <c r="AA711" i="1"/>
  <c r="AA715" i="1"/>
  <c r="AA719" i="1"/>
  <c r="AA723" i="1"/>
  <c r="AA727" i="1"/>
  <c r="AA731" i="1"/>
  <c r="AA735" i="1"/>
  <c r="AA739" i="1"/>
  <c r="AA743" i="1"/>
  <c r="AA747" i="1"/>
  <c r="AA751" i="1"/>
  <c r="AA755" i="1"/>
  <c r="AA759" i="1"/>
  <c r="AA763" i="1"/>
  <c r="AA767" i="1"/>
  <c r="AA771" i="1"/>
  <c r="AA775" i="1"/>
  <c r="AA779" i="1"/>
  <c r="AA783" i="1"/>
  <c r="AA787" i="1"/>
  <c r="AA791" i="1"/>
  <c r="AA795" i="1"/>
  <c r="AA799" i="1"/>
  <c r="AA803" i="1"/>
  <c r="AA807" i="1"/>
  <c r="AA811" i="1"/>
  <c r="AA815" i="1"/>
  <c r="AA819" i="1"/>
  <c r="AA823" i="1"/>
  <c r="AA827" i="1"/>
  <c r="AA831" i="1"/>
  <c r="AA835" i="1"/>
  <c r="AA839" i="1"/>
  <c r="AA843" i="1"/>
  <c r="AA847" i="1"/>
  <c r="AA851" i="1"/>
  <c r="AA855" i="1"/>
  <c r="AA859" i="1"/>
  <c r="AA863" i="1"/>
  <c r="AA867" i="1"/>
  <c r="AA871" i="1"/>
  <c r="AA875" i="1"/>
  <c r="AA879" i="1"/>
  <c r="AA883" i="1"/>
  <c r="AA887" i="1"/>
  <c r="AA891" i="1"/>
  <c r="AA895" i="1"/>
  <c r="AA899" i="1"/>
  <c r="AA903" i="1"/>
  <c r="AA907" i="1"/>
  <c r="AA911" i="1"/>
  <c r="AA915" i="1"/>
  <c r="AA919" i="1"/>
  <c r="AA923" i="1"/>
  <c r="AA927" i="1"/>
  <c r="AA931" i="1"/>
  <c r="AA935" i="1"/>
  <c r="AA939" i="1"/>
  <c r="AA10" i="1"/>
  <c r="AA24" i="1"/>
  <c r="AA43" i="1"/>
  <c r="AA56" i="1"/>
  <c r="AA75" i="1"/>
  <c r="AA92" i="1"/>
  <c r="AA107" i="1"/>
  <c r="Z125" i="1"/>
  <c r="AA139" i="1"/>
  <c r="Z157" i="1"/>
  <c r="AA174" i="1"/>
  <c r="Z189" i="1"/>
  <c r="Z208" i="1"/>
  <c r="Z221" i="1"/>
  <c r="Z240" i="1"/>
  <c r="AA255" i="1"/>
  <c r="Z272" i="1"/>
  <c r="Z289" i="1"/>
  <c r="Z304" i="1"/>
  <c r="Z321" i="1"/>
  <c r="Z337" i="1"/>
  <c r="Z350" i="1"/>
  <c r="AA360" i="1"/>
  <c r="Z370" i="1"/>
  <c r="AA380" i="1"/>
  <c r="AA391" i="1"/>
  <c r="AA400" i="1"/>
  <c r="Z412" i="1"/>
  <c r="AA420" i="1"/>
  <c r="Z432" i="1"/>
  <c r="AA441" i="1"/>
  <c r="AA449" i="1"/>
  <c r="Z459" i="1"/>
  <c r="Z466" i="1"/>
  <c r="Z475" i="1"/>
  <c r="AA482" i="1"/>
  <c r="AA489" i="1"/>
  <c r="AA497" i="1"/>
  <c r="AA503" i="1"/>
  <c r="AA511" i="1"/>
  <c r="Z519" i="1"/>
  <c r="Z525" i="1"/>
  <c r="Z532" i="1"/>
  <c r="AA537" i="1"/>
  <c r="AA544" i="1"/>
  <c r="Z551" i="1"/>
  <c r="Z557" i="1"/>
  <c r="Z564" i="1"/>
  <c r="AA569" i="1"/>
  <c r="AA576" i="1"/>
  <c r="Z583" i="1"/>
  <c r="Z589" i="1"/>
  <c r="Z596" i="1"/>
  <c r="AA601" i="1"/>
  <c r="AA608" i="1"/>
  <c r="Z615" i="1"/>
  <c r="Z621" i="1"/>
  <c r="Z628" i="1"/>
  <c r="AA633" i="1"/>
  <c r="AA640" i="1"/>
  <c r="Z647" i="1"/>
  <c r="Z653" i="1"/>
  <c r="Z660" i="1"/>
  <c r="AA665" i="1"/>
  <c r="AA672" i="1"/>
  <c r="Z679" i="1"/>
  <c r="Z685" i="1"/>
  <c r="Z692" i="1"/>
  <c r="AA697" i="1"/>
  <c r="AA704" i="1"/>
  <c r="Z711" i="1"/>
  <c r="Z717" i="1"/>
  <c r="Z724" i="1"/>
  <c r="AA729" i="1"/>
  <c r="AA736" i="1"/>
  <c r="Z743" i="1"/>
  <c r="Z749" i="1"/>
  <c r="Z756" i="1"/>
  <c r="AA761" i="1"/>
  <c r="AA768" i="1"/>
  <c r="Z775" i="1"/>
  <c r="Z781" i="1"/>
  <c r="Z788" i="1"/>
  <c r="AA793" i="1"/>
  <c r="AA800" i="1"/>
  <c r="Z807" i="1"/>
  <c r="Z813" i="1"/>
  <c r="Z820" i="1"/>
  <c r="AA825" i="1"/>
  <c r="AA832" i="1"/>
  <c r="Z839" i="1"/>
  <c r="Z845" i="1"/>
  <c r="Z852" i="1"/>
  <c r="AA857" i="1"/>
  <c r="AA864" i="1"/>
  <c r="Z871" i="1"/>
  <c r="Z877" i="1"/>
  <c r="Z884" i="1"/>
  <c r="AA889" i="1"/>
  <c r="AA896" i="1"/>
  <c r="Z903" i="1"/>
  <c r="Z909" i="1"/>
  <c r="Z916" i="1"/>
  <c r="AA921" i="1"/>
  <c r="AA928" i="1"/>
  <c r="Z935" i="1"/>
  <c r="Z941" i="1"/>
  <c r="Z945" i="1"/>
  <c r="Z949" i="1"/>
  <c r="Z953" i="1"/>
  <c r="Z957" i="1"/>
  <c r="Z961" i="1"/>
  <c r="Z965" i="1"/>
  <c r="Z969" i="1"/>
  <c r="Z973" i="1"/>
  <c r="Z977" i="1"/>
  <c r="Z981" i="1"/>
  <c r="Z985" i="1"/>
  <c r="Z989" i="1"/>
  <c r="Z993" i="1"/>
  <c r="Z997" i="1"/>
  <c r="Z1001" i="1"/>
  <c r="Z1005" i="1"/>
  <c r="Z1009" i="1"/>
  <c r="Z1013" i="1"/>
  <c r="Z1017" i="1"/>
  <c r="Z1021" i="1"/>
  <c r="AA1021" i="1"/>
  <c r="AA14" i="1"/>
  <c r="AA46" i="1"/>
  <c r="AA63" i="1"/>
  <c r="AA78" i="1"/>
  <c r="AA95" i="1"/>
  <c r="AA112" i="1"/>
  <c r="AA127" i="1"/>
  <c r="Z145" i="1"/>
  <c r="AA159" i="1"/>
  <c r="Z177" i="1"/>
  <c r="AA195" i="1"/>
  <c r="Z209" i="1"/>
  <c r="Z228" i="1"/>
  <c r="Z241" i="1"/>
  <c r="Z260" i="1"/>
  <c r="AA276" i="1"/>
  <c r="Z292" i="1"/>
  <c r="AA310" i="1"/>
  <c r="Z324" i="1"/>
  <c r="AA342" i="1"/>
  <c r="AA352" i="1"/>
  <c r="Z363" i="1"/>
  <c r="Z374" i="1"/>
  <c r="Z383" i="1"/>
  <c r="Z394" i="1"/>
  <c r="Z404" i="1"/>
  <c r="Z414" i="1"/>
  <c r="AA424" i="1"/>
  <c r="Z434" i="1"/>
  <c r="AA443" i="1"/>
  <c r="Z452" i="1"/>
  <c r="Z460" i="1"/>
  <c r="AA469" i="1"/>
  <c r="Z476" i="1"/>
  <c r="Z484" i="1"/>
  <c r="AA491" i="1"/>
  <c r="AA498" i="1"/>
  <c r="AA506" i="1"/>
  <c r="AA512" i="1"/>
  <c r="AA520" i="1"/>
  <c r="Z527" i="1"/>
  <c r="Z533" i="1"/>
  <c r="Z540" i="1"/>
  <c r="AA545" i="1"/>
  <c r="AA552" i="1"/>
  <c r="Z12" i="1"/>
  <c r="AA27" i="1"/>
  <c r="Z44" i="1"/>
  <c r="Z61" i="1"/>
  <c r="Z76" i="1"/>
  <c r="AA94" i="1"/>
  <c r="Z108" i="1"/>
  <c r="AA126" i="1"/>
  <c r="Z144" i="1"/>
  <c r="AA158" i="1"/>
  <c r="AA176" i="1"/>
  <c r="AA190" i="1"/>
  <c r="AA208" i="1"/>
  <c r="Z225" i="1"/>
  <c r="AA240" i="1"/>
  <c r="AA259" i="1"/>
  <c r="AA272" i="1"/>
  <c r="AA291" i="1"/>
  <c r="AA306" i="1"/>
  <c r="AA323" i="1"/>
  <c r="AA340" i="1"/>
  <c r="Z351" i="1"/>
  <c r="Z362" i="1"/>
  <c r="Z372" i="1"/>
  <c r="Z382" i="1"/>
  <c r="AA392" i="1"/>
  <c r="Z402" i="1"/>
  <c r="AA412" i="1"/>
  <c r="AA423" i="1"/>
  <c r="AA432" i="1"/>
  <c r="Z443" i="1"/>
  <c r="Z450" i="1"/>
  <c r="AA459" i="1"/>
  <c r="Z468" i="1"/>
  <c r="AA475" i="1"/>
  <c r="AA483" i="1"/>
  <c r="Z490" i="1"/>
  <c r="Z498" i="1"/>
  <c r="AA505" i="1"/>
  <c r="Z512" i="1"/>
  <c r="Z520" i="1"/>
  <c r="AA525" i="1"/>
  <c r="AA532" i="1"/>
  <c r="Z539" i="1"/>
  <c r="Z545" i="1"/>
  <c r="Z552" i="1"/>
  <c r="AA557" i="1"/>
  <c r="AA564" i="1"/>
  <c r="Z571" i="1"/>
  <c r="Z577" i="1"/>
  <c r="Z584" i="1"/>
  <c r="AA589" i="1"/>
  <c r="AA596" i="1"/>
  <c r="Z603" i="1"/>
  <c r="Z609" i="1"/>
  <c r="Z616" i="1"/>
  <c r="AA621" i="1"/>
  <c r="AA628" i="1"/>
  <c r="Z635" i="1"/>
  <c r="Z641" i="1"/>
  <c r="Z648" i="1"/>
  <c r="AA653" i="1"/>
  <c r="AA660" i="1"/>
  <c r="Z667" i="1"/>
  <c r="Z673" i="1"/>
  <c r="Z680" i="1"/>
  <c r="AA685" i="1"/>
  <c r="AA692" i="1"/>
  <c r="Z699" i="1"/>
  <c r="Z705" i="1"/>
  <c r="Z712" i="1"/>
  <c r="AA717" i="1"/>
  <c r="AA724" i="1"/>
  <c r="Z731" i="1"/>
  <c r="Z737" i="1"/>
  <c r="Z744" i="1"/>
  <c r="AA749" i="1"/>
  <c r="AA756" i="1"/>
  <c r="Z763" i="1"/>
  <c r="Z769" i="1"/>
  <c r="Z776" i="1"/>
  <c r="AA781" i="1"/>
  <c r="AA788" i="1"/>
  <c r="Z795" i="1"/>
  <c r="Z801" i="1"/>
  <c r="Z808" i="1"/>
  <c r="AA813" i="1"/>
  <c r="AA820" i="1"/>
  <c r="Z827" i="1"/>
  <c r="Z833" i="1"/>
  <c r="Z840" i="1"/>
  <c r="AA845" i="1"/>
  <c r="AA852" i="1"/>
  <c r="Z859" i="1"/>
  <c r="Z865" i="1"/>
  <c r="Z872" i="1"/>
  <c r="AA877" i="1"/>
  <c r="AA884" i="1"/>
  <c r="Z891" i="1"/>
  <c r="Z897" i="1"/>
  <c r="Z904" i="1"/>
  <c r="AA909" i="1"/>
  <c r="AA916" i="1"/>
  <c r="Z923" i="1"/>
  <c r="Z929" i="1"/>
  <c r="Z936" i="1"/>
  <c r="AA941" i="1"/>
  <c r="AA945" i="1"/>
  <c r="AA949" i="1"/>
  <c r="AA953" i="1"/>
  <c r="AA957" i="1"/>
  <c r="AA961" i="1"/>
  <c r="AA965" i="1"/>
  <c r="AA969" i="1"/>
  <c r="AA973" i="1"/>
  <c r="AA977" i="1"/>
  <c r="AA981" i="1"/>
  <c r="AA985" i="1"/>
  <c r="AA989" i="1"/>
  <c r="AA993" i="1"/>
  <c r="AA997" i="1"/>
  <c r="AA1001" i="1"/>
  <c r="AA1005" i="1"/>
  <c r="AA1009" i="1"/>
  <c r="AA1013" i="1"/>
  <c r="AA1017" i="1"/>
  <c r="Z16" i="1"/>
  <c r="Z33" i="1"/>
  <c r="Z48" i="1"/>
  <c r="Z65" i="1"/>
  <c r="Z81" i="1"/>
  <c r="Z97" i="1"/>
  <c r="AA114" i="1"/>
  <c r="Z129" i="1"/>
  <c r="AA146" i="1"/>
  <c r="Z164" i="1"/>
  <c r="AA178" i="1"/>
  <c r="AA196" i="1"/>
  <c r="AA210" i="1"/>
  <c r="AA228" i="1"/>
  <c r="AA246" i="1"/>
  <c r="AA260" i="1"/>
  <c r="AA279" i="1"/>
  <c r="AA292" i="1"/>
  <c r="AA311" i="1"/>
  <c r="Z328" i="1"/>
  <c r="AA343" i="1"/>
  <c r="Z355" i="1"/>
  <c r="AA363" i="1"/>
  <c r="Z375" i="1"/>
  <c r="AA384" i="1"/>
  <c r="Z395" i="1"/>
  <c r="Z406" i="1"/>
  <c r="Z415" i="1"/>
  <c r="Z426" i="1"/>
  <c r="Z436" i="1"/>
  <c r="Z444" i="1"/>
  <c r="AA453" i="1"/>
  <c r="AA460" i="1"/>
  <c r="Z470" i="1"/>
  <c r="Z478" i="1"/>
  <c r="AA484" i="1"/>
  <c r="AA492" i="1"/>
  <c r="Z499" i="1"/>
  <c r="Z507" i="1"/>
  <c r="AA514" i="1"/>
  <c r="Z521" i="1"/>
  <c r="Z528" i="1"/>
  <c r="AA533" i="1"/>
  <c r="AA540" i="1"/>
  <c r="Z547" i="1"/>
  <c r="Z553" i="1"/>
  <c r="Z560" i="1"/>
  <c r="AA565" i="1"/>
  <c r="AA572" i="1"/>
  <c r="Z579" i="1"/>
  <c r="Z585" i="1"/>
  <c r="Z592" i="1"/>
  <c r="AA597" i="1"/>
  <c r="AA604" i="1"/>
  <c r="Z611" i="1"/>
  <c r="Z617" i="1"/>
  <c r="Z624" i="1"/>
  <c r="AA629" i="1"/>
  <c r="AA636" i="1"/>
  <c r="Z643" i="1"/>
  <c r="Z649" i="1"/>
  <c r="Z656" i="1"/>
  <c r="AA661" i="1"/>
  <c r="AA668" i="1"/>
  <c r="Z675" i="1"/>
  <c r="Z681" i="1"/>
  <c r="Z688" i="1"/>
  <c r="AA693" i="1"/>
  <c r="AA700" i="1"/>
  <c r="Z707" i="1"/>
  <c r="Z713" i="1"/>
  <c r="Z720" i="1"/>
  <c r="AA725" i="1"/>
  <c r="AA732" i="1"/>
  <c r="Z739" i="1"/>
  <c r="Z745" i="1"/>
  <c r="Z752" i="1"/>
  <c r="AA757" i="1"/>
  <c r="AA764" i="1"/>
  <c r="Z771" i="1"/>
  <c r="Z777" i="1"/>
  <c r="Z784" i="1"/>
  <c r="AA789" i="1"/>
  <c r="AA796" i="1"/>
  <c r="Z803" i="1"/>
  <c r="Z809" i="1"/>
  <c r="Z816" i="1"/>
  <c r="AA821" i="1"/>
  <c r="AA828" i="1"/>
  <c r="Z835" i="1"/>
  <c r="Z841" i="1"/>
  <c r="Z848" i="1"/>
  <c r="AA853" i="1"/>
  <c r="AA860" i="1"/>
  <c r="Z867" i="1"/>
  <c r="Z873" i="1"/>
  <c r="Z880" i="1"/>
  <c r="AA885" i="1"/>
  <c r="AA892" i="1"/>
  <c r="Z899" i="1"/>
  <c r="Z905" i="1"/>
  <c r="Z912" i="1"/>
  <c r="AA917" i="1"/>
  <c r="AA924" i="1"/>
  <c r="Z931" i="1"/>
  <c r="Z937" i="1"/>
  <c r="AA942" i="1"/>
  <c r="AA946" i="1"/>
  <c r="AA950" i="1"/>
  <c r="AA954" i="1"/>
  <c r="AA958" i="1"/>
  <c r="AA962" i="1"/>
  <c r="AA966" i="1"/>
  <c r="AA970" i="1"/>
  <c r="AA974" i="1"/>
  <c r="AA978" i="1"/>
  <c r="AA982" i="1"/>
  <c r="AA986" i="1"/>
  <c r="AA990" i="1"/>
  <c r="AA994" i="1"/>
  <c r="AA998" i="1"/>
  <c r="AA1002" i="1"/>
  <c r="AA1006" i="1"/>
  <c r="AA1010" i="1"/>
  <c r="AA1014" i="1"/>
  <c r="AA1018" i="1"/>
  <c r="AA16" i="1"/>
  <c r="AA35" i="1"/>
  <c r="AA50" i="1"/>
  <c r="AA67" i="1"/>
  <c r="AA84" i="1"/>
  <c r="AA99" i="1"/>
  <c r="AA116" i="1"/>
  <c r="AA132" i="1"/>
  <c r="AA148" i="1"/>
  <c r="Z165" i="1"/>
  <c r="AA180" i="1"/>
  <c r="Z197" i="1"/>
  <c r="AA215" i="1"/>
  <c r="Z229" i="1"/>
  <c r="Z248" i="1"/>
  <c r="Z261" i="1"/>
  <c r="Z280" i="1"/>
  <c r="Z297" i="1"/>
  <c r="Z312" i="1"/>
  <c r="AA330" i="1"/>
  <c r="Z344" i="1"/>
  <c r="AA355" i="1"/>
  <c r="Z366" i="1"/>
  <c r="AA375" i="1"/>
  <c r="Z387" i="1"/>
  <c r="AA395" i="1"/>
  <c r="Z407" i="1"/>
  <c r="AA416" i="1"/>
  <c r="Z427" i="1"/>
  <c r="AA437" i="1"/>
  <c r="AA444" i="1"/>
  <c r="Z454" i="1"/>
  <c r="Z463" i="1"/>
  <c r="Z471" i="1"/>
  <c r="Z479" i="1"/>
  <c r="AA485" i="1"/>
  <c r="AA493" i="1"/>
  <c r="AA500" i="1"/>
  <c r="AA507" i="1"/>
  <c r="AA515" i="1"/>
  <c r="AA521" i="1"/>
  <c r="AA528" i="1"/>
  <c r="Z535" i="1"/>
  <c r="Z541" i="1"/>
  <c r="AA36" i="1"/>
  <c r="AA86" i="1"/>
  <c r="AA123" i="1"/>
  <c r="Z169" i="1"/>
  <c r="AA216" i="1"/>
  <c r="AA252" i="1"/>
  <c r="Z300" i="1"/>
  <c r="Z347" i="1"/>
  <c r="AA368" i="1"/>
  <c r="AA399" i="1"/>
  <c r="AA427" i="1"/>
  <c r="AA448" i="1"/>
  <c r="AA473" i="1"/>
  <c r="Z494" i="1"/>
  <c r="Z511" i="1"/>
  <c r="AA529" i="1"/>
  <c r="Z548" i="1"/>
  <c r="Z559" i="1"/>
  <c r="AA568" i="1"/>
  <c r="Z580" i="1"/>
  <c r="AA588" i="1"/>
  <c r="Z600" i="1"/>
  <c r="AA609" i="1"/>
  <c r="Z620" i="1"/>
  <c r="Z631" i="1"/>
  <c r="Z640" i="1"/>
  <c r="Z651" i="1"/>
  <c r="Z661" i="1"/>
  <c r="Z671" i="1"/>
  <c r="AA681" i="1"/>
  <c r="Z691" i="1"/>
  <c r="AA701" i="1"/>
  <c r="AA712" i="1"/>
  <c r="AA721" i="1"/>
  <c r="Z733" i="1"/>
  <c r="AA741" i="1"/>
  <c r="Z753" i="1"/>
  <c r="Z764" i="1"/>
  <c r="Z773" i="1"/>
  <c r="AA784" i="1"/>
  <c r="Z793" i="1"/>
  <c r="AA804" i="1"/>
  <c r="Z815" i="1"/>
  <c r="AA824" i="1"/>
  <c r="Z876" i="1"/>
  <c r="Z907" i="1"/>
  <c r="Z964" i="1"/>
  <c r="Z136" i="1"/>
  <c r="Z430" i="1"/>
  <c r="Z516" i="1"/>
  <c r="AA560" i="1"/>
  <c r="Z591" i="1"/>
  <c r="AA620" i="1"/>
  <c r="Z663" i="1"/>
  <c r="AA713" i="1"/>
  <c r="Z765" i="1"/>
  <c r="Z805" i="1"/>
  <c r="AA856" i="1"/>
  <c r="AA897" i="1"/>
  <c r="Z908" i="1"/>
  <c r="Z946" i="1"/>
  <c r="AA964" i="1"/>
  <c r="Z991" i="1"/>
  <c r="Z1016" i="1"/>
  <c r="Z5" i="1"/>
  <c r="AA54" i="1"/>
  <c r="Z88" i="1"/>
  <c r="Z137" i="1"/>
  <c r="Z184" i="1"/>
  <c r="AA220" i="1"/>
  <c r="Z268" i="1"/>
  <c r="AA312" i="1"/>
  <c r="AA348" i="1"/>
  <c r="Z379" i="1"/>
  <c r="AA407" i="1"/>
  <c r="AA431" i="1"/>
  <c r="AA455" i="1"/>
  <c r="AA479" i="1"/>
  <c r="Z496" i="1"/>
  <c r="AA516" i="1"/>
  <c r="Z536" i="1"/>
  <c r="Z549" i="1"/>
  <c r="Z561" i="1"/>
  <c r="Z572" i="1"/>
  <c r="Z581" i="1"/>
  <c r="AA592" i="1"/>
  <c r="Z601" i="1"/>
  <c r="AA612" i="1"/>
  <c r="Z623" i="1"/>
  <c r="AA632" i="1"/>
  <c r="Z644" i="1"/>
  <c r="AA652" i="1"/>
  <c r="Z664" i="1"/>
  <c r="AA673" i="1"/>
  <c r="Z684" i="1"/>
  <c r="Z695" i="1"/>
  <c r="Z704" i="1"/>
  <c r="Z715" i="1"/>
  <c r="Z725" i="1"/>
  <c r="Z735" i="1"/>
  <c r="AA745" i="1"/>
  <c r="Z755" i="1"/>
  <c r="AA765" i="1"/>
  <c r="AA776" i="1"/>
  <c r="AA785" i="1"/>
  <c r="Z797" i="1"/>
  <c r="AA805" i="1"/>
  <c r="Z817" i="1"/>
  <c r="Z828" i="1"/>
  <c r="Z837" i="1"/>
  <c r="AA848" i="1"/>
  <c r="Z857" i="1"/>
  <c r="AA868" i="1"/>
  <c r="Z879" i="1"/>
  <c r="AA888" i="1"/>
  <c r="Z900" i="1"/>
  <c r="AA908" i="1"/>
  <c r="Z920" i="1"/>
  <c r="AA929" i="1"/>
  <c r="Z940" i="1"/>
  <c r="Z947" i="1"/>
  <c r="AA952" i="1"/>
  <c r="AA959" i="1"/>
  <c r="Z966" i="1"/>
  <c r="Z972" i="1"/>
  <c r="Z979" i="1"/>
  <c r="AA984" i="1"/>
  <c r="AA991" i="1"/>
  <c r="Z998" i="1"/>
  <c r="Z1004" i="1"/>
  <c r="Z1011" i="1"/>
  <c r="AA1016" i="1"/>
  <c r="Z780" i="1"/>
  <c r="AA901" i="1"/>
  <c r="AA948" i="1"/>
  <c r="Z968" i="1"/>
  <c r="AA987" i="1"/>
  <c r="Z1007" i="1"/>
  <c r="Z1002" i="1"/>
  <c r="Z836" i="1"/>
  <c r="Z927" i="1"/>
  <c r="Z971" i="1"/>
  <c r="Z1003" i="1"/>
  <c r="Z41" i="1"/>
  <c r="Z693" i="1"/>
  <c r="AA836" i="1"/>
  <c r="Z978" i="1"/>
  <c r="AA20" i="1"/>
  <c r="AA55" i="1"/>
  <c r="Z101" i="1"/>
  <c r="AA138" i="1"/>
  <c r="AA187" i="1"/>
  <c r="Z232" i="1"/>
  <c r="AA270" i="1"/>
  <c r="Z317" i="1"/>
  <c r="Z356" i="1"/>
  <c r="Z380" i="1"/>
  <c r="Z408" i="1"/>
  <c r="Z438" i="1"/>
  <c r="AA457" i="1"/>
  <c r="Z480" i="1"/>
  <c r="Z502" i="1"/>
  <c r="AA517" i="1"/>
  <c r="AA536" i="1"/>
  <c r="AA549" i="1"/>
  <c r="AA561" i="1"/>
  <c r="Z573" i="1"/>
  <c r="AA581" i="1"/>
  <c r="Z593" i="1"/>
  <c r="Z604" i="1"/>
  <c r="Z613" i="1"/>
  <c r="AA624" i="1"/>
  <c r="Z633" i="1"/>
  <c r="AA644" i="1"/>
  <c r="Z655" i="1"/>
  <c r="AA664" i="1"/>
  <c r="Z676" i="1"/>
  <c r="AA684" i="1"/>
  <c r="Z696" i="1"/>
  <c r="AA705" i="1"/>
  <c r="Z716" i="1"/>
  <c r="Z727" i="1"/>
  <c r="Z736" i="1"/>
  <c r="Z747" i="1"/>
  <c r="Z757" i="1"/>
  <c r="Z767" i="1"/>
  <c r="AA777" i="1"/>
  <c r="Z787" i="1"/>
  <c r="AA797" i="1"/>
  <c r="AA808" i="1"/>
  <c r="AA817" i="1"/>
  <c r="Z829" i="1"/>
  <c r="AA837" i="1"/>
  <c r="Z849" i="1"/>
  <c r="Z860" i="1"/>
  <c r="Z869" i="1"/>
  <c r="AA880" i="1"/>
  <c r="Z889" i="1"/>
  <c r="AA900" i="1"/>
  <c r="Z911" i="1"/>
  <c r="AA920" i="1"/>
  <c r="Z932" i="1"/>
  <c r="AA940" i="1"/>
  <c r="AA947" i="1"/>
  <c r="Z954" i="1"/>
  <c r="Z960" i="1"/>
  <c r="Z967" i="1"/>
  <c r="AA972" i="1"/>
  <c r="AA979" i="1"/>
  <c r="Z986" i="1"/>
  <c r="Z992" i="1"/>
  <c r="Z999" i="1"/>
  <c r="AA1004" i="1"/>
  <c r="AA1011" i="1"/>
  <c r="Z1018" i="1"/>
  <c r="Z980" i="1"/>
  <c r="AA992" i="1"/>
  <c r="AA999" i="1"/>
  <c r="Z1012" i="1"/>
  <c r="AA152" i="1"/>
  <c r="AA464" i="1"/>
  <c r="Z503" i="1"/>
  <c r="Z555" i="1"/>
  <c r="Z565" i="1"/>
  <c r="Z575" i="1"/>
  <c r="Z595" i="1"/>
  <c r="AA625" i="1"/>
  <c r="AA645" i="1"/>
  <c r="Z668" i="1"/>
  <c r="AA688" i="1"/>
  <c r="AA708" i="1"/>
  <c r="AA728" i="1"/>
  <c r="AA769" i="1"/>
  <c r="Z800" i="1"/>
  <c r="Z821" i="1"/>
  <c r="AA841" i="1"/>
  <c r="AA861" i="1"/>
  <c r="Z893" i="1"/>
  <c r="Z924" i="1"/>
  <c r="Z933" i="1"/>
  <c r="AA955" i="1"/>
  <c r="Z975" i="1"/>
  <c r="Z994" i="1"/>
  <c r="AA1012" i="1"/>
  <c r="AA956" i="1"/>
  <c r="Z976" i="1"/>
  <c r="AA988" i="1"/>
  <c r="Z1015" i="1"/>
  <c r="AA844" i="1"/>
  <c r="Z896" i="1"/>
  <c r="AA944" i="1"/>
  <c r="Z990" i="1"/>
  <c r="AA170" i="1"/>
  <c r="AA219" i="1"/>
  <c r="AA266" i="1"/>
  <c r="AA302" i="1"/>
  <c r="Z348" i="1"/>
  <c r="Z376" i="1"/>
  <c r="Z400" i="1"/>
  <c r="AA474" i="1"/>
  <c r="AA494" i="1"/>
  <c r="Z531" i="1"/>
  <c r="Z569" i="1"/>
  <c r="AA600" i="1"/>
  <c r="Z632" i="1"/>
  <c r="Z672" i="1"/>
  <c r="Z703" i="1"/>
  <c r="AA733" i="1"/>
  <c r="AA744" i="1"/>
  <c r="AA773" i="1"/>
  <c r="Z796" i="1"/>
  <c r="AA816" i="1"/>
  <c r="Z847" i="1"/>
  <c r="Z888" i="1"/>
  <c r="Z919" i="1"/>
  <c r="Z952" i="1"/>
  <c r="Z984" i="1"/>
  <c r="Z1010" i="1"/>
  <c r="AA23" i="1"/>
  <c r="Z56" i="1"/>
  <c r="Z105" i="1"/>
  <c r="AA150" i="1"/>
  <c r="AA188" i="1"/>
  <c r="AA235" i="1"/>
  <c r="AA280" i="1"/>
  <c r="AA319" i="1"/>
  <c r="AA356" i="1"/>
  <c r="AA387" i="1"/>
  <c r="Z411" i="1"/>
  <c r="Z439" i="1"/>
  <c r="Z464" i="1"/>
  <c r="AA480" i="1"/>
  <c r="AA502" i="1"/>
  <c r="Z523" i="1"/>
  <c r="Z537" i="1"/>
  <c r="AA553" i="1"/>
  <c r="Z563" i="1"/>
  <c r="AA573" i="1"/>
  <c r="AA584" i="1"/>
  <c r="AA593" i="1"/>
  <c r="Z605" i="1"/>
  <c r="AA613" i="1"/>
  <c r="Z625" i="1"/>
  <c r="Z636" i="1"/>
  <c r="Z645" i="1"/>
  <c r="AA656" i="1"/>
  <c r="Z665" i="1"/>
  <c r="AA676" i="1"/>
  <c r="Z687" i="1"/>
  <c r="AA696" i="1"/>
  <c r="Z708" i="1"/>
  <c r="AA716" i="1"/>
  <c r="Z728" i="1"/>
  <c r="AA737" i="1"/>
  <c r="Z748" i="1"/>
  <c r="Z759" i="1"/>
  <c r="Z768" i="1"/>
  <c r="Z779" i="1"/>
  <c r="Z789" i="1"/>
  <c r="Z799" i="1"/>
  <c r="AA809" i="1"/>
  <c r="Z819" i="1"/>
  <c r="AA829" i="1"/>
  <c r="AA840" i="1"/>
  <c r="AA849" i="1"/>
  <c r="Z861" i="1"/>
  <c r="AA869" i="1"/>
  <c r="Z881" i="1"/>
  <c r="Z892" i="1"/>
  <c r="Z901" i="1"/>
  <c r="AA912" i="1"/>
  <c r="Z921" i="1"/>
  <c r="AA932" i="1"/>
  <c r="Z942" i="1"/>
  <c r="Z948" i="1"/>
  <c r="Z955" i="1"/>
  <c r="AA960" i="1"/>
  <c r="AA967" i="1"/>
  <c r="Z974" i="1"/>
  <c r="Z987" i="1"/>
  <c r="Z1006" i="1"/>
  <c r="Z1019" i="1"/>
  <c r="Z68" i="1"/>
  <c r="Z524" i="1"/>
  <c r="AA585" i="1"/>
  <c r="AA616" i="1"/>
  <c r="Z637" i="1"/>
  <c r="Z657" i="1"/>
  <c r="Z677" i="1"/>
  <c r="Z697" i="1"/>
  <c r="Z719" i="1"/>
  <c r="Z740" i="1"/>
  <c r="Z760" i="1"/>
  <c r="Z791" i="1"/>
  <c r="Z811" i="1"/>
  <c r="Z831" i="1"/>
  <c r="Z851" i="1"/>
  <c r="AA881" i="1"/>
  <c r="Z913" i="1"/>
  <c r="Z943" i="1"/>
  <c r="Z962" i="1"/>
  <c r="AA980" i="1"/>
  <c r="Z1000" i="1"/>
  <c r="Z951" i="1"/>
  <c r="Z983" i="1"/>
  <c r="Z1008" i="1"/>
  <c r="Z856" i="1"/>
  <c r="AA937" i="1"/>
  <c r="AA983" i="1"/>
  <c r="AA1015" i="1"/>
  <c r="AA87" i="1"/>
  <c r="Z455" i="1"/>
  <c r="AA548" i="1"/>
  <c r="AA580" i="1"/>
  <c r="Z612" i="1"/>
  <c r="Z652" i="1"/>
  <c r="Z683" i="1"/>
  <c r="Z723" i="1"/>
  <c r="AA753" i="1"/>
  <c r="Z785" i="1"/>
  <c r="Z825" i="1"/>
  <c r="AA876" i="1"/>
  <c r="Z928" i="1"/>
  <c r="Z959" i="1"/>
  <c r="AA996" i="1"/>
  <c r="Z24" i="1"/>
  <c r="AA106" i="1"/>
  <c r="Z200" i="1"/>
  <c r="AA238" i="1"/>
  <c r="AA283" i="1"/>
  <c r="AA331" i="1"/>
  <c r="AA359" i="1"/>
  <c r="Z388" i="1"/>
  <c r="Z419" i="1"/>
  <c r="AA439" i="1"/>
  <c r="Z487" i="1"/>
  <c r="AA541" i="1"/>
  <c r="AA605" i="1"/>
  <c r="AA748" i="1"/>
  <c r="AA872" i="1"/>
  <c r="AA1019" i="1"/>
  <c r="Z887" i="1"/>
  <c r="Z958" i="1"/>
  <c r="Z996" i="1"/>
  <c r="AA641" i="1"/>
  <c r="Z868" i="1"/>
  <c r="Z939" i="1"/>
  <c r="AA971" i="1"/>
  <c r="AA1003" i="1"/>
  <c r="AA30" i="1"/>
  <c r="Z72" i="1"/>
  <c r="AA118" i="1"/>
  <c r="AA156" i="1"/>
  <c r="Z201" i="1"/>
  <c r="AA248" i="1"/>
  <c r="AA286" i="1"/>
  <c r="Z332" i="1"/>
  <c r="AA367" i="1"/>
  <c r="AA388" i="1"/>
  <c r="AA419" i="1"/>
  <c r="Z447" i="1"/>
  <c r="AA465" i="1"/>
  <c r="Z488" i="1"/>
  <c r="Z508" i="1"/>
  <c r="AA524" i="1"/>
  <c r="Z543" i="1"/>
  <c r="Z556" i="1"/>
  <c r="Z567" i="1"/>
  <c r="Z576" i="1"/>
  <c r="Z587" i="1"/>
  <c r="Z597" i="1"/>
  <c r="Z607" i="1"/>
  <c r="AA617" i="1"/>
  <c r="Z627" i="1"/>
  <c r="AA637" i="1"/>
  <c r="AA648" i="1"/>
  <c r="AA657" i="1"/>
  <c r="Z669" i="1"/>
  <c r="AA677" i="1"/>
  <c r="Z689" i="1"/>
  <c r="Z700" i="1"/>
  <c r="Z709" i="1"/>
  <c r="AA720" i="1"/>
  <c r="Z729" i="1"/>
  <c r="AA740" i="1"/>
  <c r="Z751" i="1"/>
  <c r="AA760" i="1"/>
  <c r="Z772" i="1"/>
  <c r="AA780" i="1"/>
  <c r="Z792" i="1"/>
  <c r="AA801" i="1"/>
  <c r="Z812" i="1"/>
  <c r="Z823" i="1"/>
  <c r="Z832" i="1"/>
  <c r="Z843" i="1"/>
  <c r="Z853" i="1"/>
  <c r="Z863" i="1"/>
  <c r="AA873" i="1"/>
  <c r="Z883" i="1"/>
  <c r="AA893" i="1"/>
  <c r="AA904" i="1"/>
  <c r="AA913" i="1"/>
  <c r="Z925" i="1"/>
  <c r="AA933" i="1"/>
  <c r="AA943" i="1"/>
  <c r="Z950" i="1"/>
  <c r="Z956" i="1"/>
  <c r="Z963" i="1"/>
  <c r="AA968" i="1"/>
  <c r="AA975" i="1"/>
  <c r="Z982" i="1"/>
  <c r="Z988" i="1"/>
  <c r="Z995" i="1"/>
  <c r="AA1000" i="1"/>
  <c r="AA1007" i="1"/>
  <c r="Z1014" i="1"/>
  <c r="Z1020" i="1"/>
  <c r="Z36" i="1"/>
  <c r="AA74" i="1"/>
  <c r="AA119" i="1"/>
  <c r="Z168" i="1"/>
  <c r="Z204" i="1"/>
  <c r="AA251" i="1"/>
  <c r="AA299" i="1"/>
  <c r="AA334" i="1"/>
  <c r="Z368" i="1"/>
  <c r="Z398" i="1"/>
  <c r="Z420" i="1"/>
  <c r="Z448" i="1"/>
  <c r="AA471" i="1"/>
  <c r="AA488" i="1"/>
  <c r="Z510" i="1"/>
  <c r="Z529" i="1"/>
  <c r="Z544" i="1"/>
  <c r="AA556" i="1"/>
  <c r="Z568" i="1"/>
  <c r="AA577" i="1"/>
  <c r="Z588" i="1"/>
  <c r="Z599" i="1"/>
  <c r="Z608" i="1"/>
  <c r="Z619" i="1"/>
  <c r="Z629" i="1"/>
  <c r="Z639" i="1"/>
  <c r="AA649" i="1"/>
  <c r="Z659" i="1"/>
  <c r="AA669" i="1"/>
  <c r="AA680" i="1"/>
  <c r="AA689" i="1"/>
  <c r="Z701" i="1"/>
  <c r="AA709" i="1"/>
  <c r="Z721" i="1"/>
  <c r="Z732" i="1"/>
  <c r="Z741" i="1"/>
  <c r="AA752" i="1"/>
  <c r="Z761" i="1"/>
  <c r="AA772" i="1"/>
  <c r="Z783" i="1"/>
  <c r="AA792" i="1"/>
  <c r="Z804" i="1"/>
  <c r="AA812" i="1"/>
  <c r="Z824" i="1"/>
  <c r="AA833" i="1"/>
  <c r="Z844" i="1"/>
  <c r="Z855" i="1"/>
  <c r="Z864" i="1"/>
  <c r="Z875" i="1"/>
  <c r="Z885" i="1"/>
  <c r="Z895" i="1"/>
  <c r="AA905" i="1"/>
  <c r="Z915" i="1"/>
  <c r="AA925" i="1"/>
  <c r="AA936" i="1"/>
  <c r="Z944" i="1"/>
  <c r="AA963" i="1"/>
  <c r="Z970" i="1"/>
  <c r="AA995" i="1"/>
  <c r="AA1020" i="1"/>
  <c r="AA865" i="1"/>
  <c r="Z917" i="1"/>
  <c r="AA951" i="1"/>
  <c r="AA976" i="1"/>
  <c r="AA1008" i="1"/>
  <c r="C21" i="1"/>
  <c r="G44" i="1"/>
  <c r="G42" i="1"/>
  <c r="G40" i="1"/>
  <c r="G43" i="1"/>
  <c r="G41" i="1"/>
  <c r="U10" i="1" l="1"/>
  <c r="U11" i="1"/>
  <c r="AA3" i="1"/>
  <c r="G199" i="1" l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X510" i="1"/>
  <c r="W7" i="1"/>
  <c r="X508" i="1"/>
  <c r="X509" i="1"/>
  <c r="X516" i="1"/>
  <c r="X517" i="1"/>
  <c r="X524" i="1"/>
  <c r="X525" i="1"/>
  <c r="X532" i="1"/>
  <c r="X533" i="1"/>
  <c r="X540" i="1"/>
  <c r="X541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6" i="1"/>
  <c r="X5" i="1"/>
  <c r="X7" i="1" l="1"/>
  <c r="W8" i="1"/>
  <c r="X539" i="1"/>
  <c r="X531" i="1"/>
  <c r="X523" i="1"/>
  <c r="X515" i="1"/>
  <c r="X507" i="1"/>
  <c r="X538" i="1"/>
  <c r="X530" i="1"/>
  <c r="X522" i="1"/>
  <c r="X514" i="1"/>
  <c r="X506" i="1"/>
  <c r="X537" i="1"/>
  <c r="X529" i="1"/>
  <c r="X521" i="1"/>
  <c r="X513" i="1"/>
  <c r="X536" i="1"/>
  <c r="X528" i="1"/>
  <c r="X520" i="1"/>
  <c r="X512" i="1"/>
  <c r="X543" i="1"/>
  <c r="X535" i="1"/>
  <c r="X527" i="1"/>
  <c r="X519" i="1"/>
  <c r="X511" i="1"/>
  <c r="X542" i="1"/>
  <c r="X534" i="1"/>
  <c r="X526" i="1"/>
  <c r="X518" i="1"/>
  <c r="H164" i="1"/>
  <c r="H162" i="1"/>
  <c r="H160" i="1"/>
  <c r="H158" i="1"/>
  <c r="H156" i="1"/>
  <c r="H154" i="1"/>
  <c r="H152" i="1"/>
  <c r="H150" i="1"/>
  <c r="H148" i="1"/>
  <c r="H146" i="1"/>
  <c r="H144" i="1"/>
  <c r="H142" i="1"/>
  <c r="H140" i="1"/>
  <c r="H138" i="1"/>
  <c r="H136" i="1"/>
  <c r="H134" i="1"/>
  <c r="H132" i="1"/>
  <c r="H130" i="1"/>
  <c r="H128" i="1"/>
  <c r="H198" i="1"/>
  <c r="H189" i="1"/>
  <c r="H165" i="1"/>
  <c r="H125" i="1"/>
  <c r="H123" i="1"/>
  <c r="H121" i="1"/>
  <c r="H119" i="1"/>
  <c r="H117" i="1"/>
  <c r="H115" i="1"/>
  <c r="H113" i="1"/>
  <c r="H111" i="1"/>
  <c r="H126" i="1"/>
  <c r="H109" i="1"/>
  <c r="H187" i="1"/>
  <c r="H185" i="1"/>
  <c r="H183" i="1"/>
  <c r="H181" i="1"/>
  <c r="H179" i="1"/>
  <c r="H177" i="1"/>
  <c r="H175" i="1"/>
  <c r="H173" i="1"/>
  <c r="H171" i="1"/>
  <c r="H169" i="1"/>
  <c r="H167" i="1"/>
  <c r="H66" i="1"/>
  <c r="H197" i="1"/>
  <c r="H195" i="1"/>
  <c r="H193" i="1"/>
  <c r="H191" i="1"/>
  <c r="H45" i="1"/>
  <c r="H199" i="1"/>
  <c r="H124" i="1"/>
  <c r="H122" i="1"/>
  <c r="H120" i="1"/>
  <c r="H118" i="1"/>
  <c r="H116" i="1"/>
  <c r="H114" i="1"/>
  <c r="H112" i="1"/>
  <c r="H110" i="1"/>
  <c r="H194" i="1"/>
  <c r="H190" i="1"/>
  <c r="H186" i="1"/>
  <c r="H170" i="1"/>
  <c r="H104" i="1"/>
  <c r="H101" i="1"/>
  <c r="H86" i="1"/>
  <c r="H176" i="1"/>
  <c r="H163" i="1"/>
  <c r="H159" i="1"/>
  <c r="H155" i="1"/>
  <c r="H9" i="1" s="1"/>
  <c r="H151" i="1"/>
  <c r="H147" i="1"/>
  <c r="H143" i="1"/>
  <c r="H139" i="1"/>
  <c r="H135" i="1"/>
  <c r="H131" i="1"/>
  <c r="H127" i="1"/>
  <c r="H107" i="1"/>
  <c r="H94" i="1"/>
  <c r="H91" i="1"/>
  <c r="H65" i="1"/>
  <c r="H63" i="1"/>
  <c r="H61" i="1"/>
  <c r="H59" i="1"/>
  <c r="H57" i="1"/>
  <c r="H55" i="1"/>
  <c r="H53" i="1"/>
  <c r="H51" i="1"/>
  <c r="H49" i="1"/>
  <c r="H47" i="1"/>
  <c r="H182" i="1"/>
  <c r="H166" i="1"/>
  <c r="H100" i="1"/>
  <c r="H97" i="1"/>
  <c r="H88" i="1"/>
  <c r="H83" i="1"/>
  <c r="H81" i="1"/>
  <c r="H79" i="1"/>
  <c r="H77" i="1"/>
  <c r="H75" i="1"/>
  <c r="H73" i="1"/>
  <c r="H71" i="1"/>
  <c r="H69" i="1"/>
  <c r="H67" i="1"/>
  <c r="H188" i="1"/>
  <c r="H172" i="1"/>
  <c r="H106" i="1"/>
  <c r="H103" i="1"/>
  <c r="H196" i="1"/>
  <c r="H192" i="1"/>
  <c r="H178" i="1"/>
  <c r="H96" i="1"/>
  <c r="H93" i="1"/>
  <c r="H90" i="1"/>
  <c r="H184" i="1"/>
  <c r="H168" i="1"/>
  <c r="H161" i="1"/>
  <c r="H157" i="1"/>
  <c r="H153" i="1"/>
  <c r="H149" i="1"/>
  <c r="H145" i="1"/>
  <c r="H141" i="1"/>
  <c r="H137" i="1"/>
  <c r="H133" i="1"/>
  <c r="H129" i="1"/>
  <c r="H102" i="1"/>
  <c r="H99" i="1"/>
  <c r="H87" i="1"/>
  <c r="H64" i="1"/>
  <c r="H62" i="1"/>
  <c r="H60" i="1"/>
  <c r="H58" i="1"/>
  <c r="H56" i="1"/>
  <c r="H54" i="1"/>
  <c r="H52" i="1"/>
  <c r="H50" i="1"/>
  <c r="H48" i="1"/>
  <c r="H46" i="1"/>
  <c r="H105" i="1"/>
  <c r="H78" i="1"/>
  <c r="H43" i="1"/>
  <c r="H98" i="1"/>
  <c r="H89" i="1"/>
  <c r="H84" i="1"/>
  <c r="H68" i="1"/>
  <c r="H74" i="1"/>
  <c r="H108" i="1"/>
  <c r="H70" i="1"/>
  <c r="H76" i="1"/>
  <c r="H44" i="1"/>
  <c r="H95" i="1"/>
  <c r="H82" i="1"/>
  <c r="H41" i="1"/>
  <c r="H92" i="1"/>
  <c r="H85" i="1"/>
  <c r="H80" i="1"/>
  <c r="H174" i="1"/>
  <c r="H180" i="1"/>
  <c r="H72" i="1"/>
  <c r="H42" i="1"/>
  <c r="J9" i="1" l="1"/>
  <c r="H11" i="1"/>
  <c r="H7" i="1"/>
  <c r="H8" i="1"/>
  <c r="H10" i="1"/>
  <c r="H6" i="1"/>
  <c r="H5" i="1"/>
  <c r="AC9" i="1"/>
  <c r="X8" i="1"/>
  <c r="W9" i="1"/>
  <c r="H40" i="1"/>
  <c r="H4" i="1" s="1"/>
  <c r="J4" i="1" l="1"/>
  <c r="J6" i="1"/>
  <c r="J10" i="1"/>
  <c r="J8" i="1"/>
  <c r="J7" i="1"/>
  <c r="J11" i="1"/>
  <c r="J5" i="1"/>
  <c r="H12" i="1"/>
  <c r="J12" i="1" s="1"/>
  <c r="W10" i="1"/>
  <c r="X9" i="1"/>
  <c r="W11" i="1" l="1"/>
  <c r="X10" i="1"/>
  <c r="W12" i="1" l="1"/>
  <c r="X11" i="1"/>
  <c r="W13" i="1" l="1"/>
  <c r="X12" i="1"/>
  <c r="W14" i="1" l="1"/>
  <c r="X13" i="1"/>
  <c r="W15" i="1" l="1"/>
  <c r="X14" i="1"/>
  <c r="W16" i="1" l="1"/>
  <c r="X15" i="1"/>
  <c r="X16" i="1" l="1"/>
  <c r="W17" i="1"/>
  <c r="W18" i="1" l="1"/>
  <c r="X17" i="1"/>
  <c r="W19" i="1" l="1"/>
  <c r="X18" i="1"/>
  <c r="W20" i="1" l="1"/>
  <c r="X19" i="1"/>
  <c r="W21" i="1" l="1"/>
  <c r="X20" i="1"/>
  <c r="X21" i="1" l="1"/>
  <c r="W22" i="1"/>
  <c r="X22" i="1" l="1"/>
  <c r="W23" i="1"/>
  <c r="X23" i="1" l="1"/>
  <c r="W24" i="1"/>
  <c r="W25" i="1" l="1"/>
  <c r="X24" i="1"/>
  <c r="W26" i="1" l="1"/>
  <c r="X25" i="1"/>
  <c r="W27" i="1" l="1"/>
  <c r="X26" i="1"/>
  <c r="W28" i="1" l="1"/>
  <c r="X27" i="1"/>
  <c r="W29" i="1" l="1"/>
  <c r="X28" i="1"/>
  <c r="W30" i="1" l="1"/>
  <c r="X29" i="1"/>
  <c r="W31" i="1" l="1"/>
  <c r="X30" i="1"/>
  <c r="W32" i="1" l="1"/>
  <c r="X31" i="1"/>
  <c r="X32" i="1" l="1"/>
  <c r="W33" i="1"/>
  <c r="W34" i="1" l="1"/>
  <c r="X33" i="1"/>
  <c r="W35" i="1" l="1"/>
  <c r="X34" i="1"/>
  <c r="W36" i="1" l="1"/>
  <c r="X35" i="1"/>
  <c r="W37" i="1" l="1"/>
  <c r="X36" i="1"/>
  <c r="W38" i="1" l="1"/>
  <c r="X37" i="1"/>
  <c r="W39" i="1" l="1"/>
  <c r="X38" i="1"/>
  <c r="X39" i="1" l="1"/>
  <c r="W40" i="1"/>
  <c r="X40" i="1" l="1"/>
  <c r="W41" i="1"/>
  <c r="W42" i="1" l="1"/>
  <c r="X41" i="1"/>
  <c r="W43" i="1" l="1"/>
  <c r="X42" i="1"/>
  <c r="W44" i="1" l="1"/>
  <c r="X43" i="1"/>
  <c r="W45" i="1" l="1"/>
  <c r="X44" i="1"/>
  <c r="W46" i="1" l="1"/>
  <c r="X45" i="1"/>
  <c r="W47" i="1" l="1"/>
  <c r="X46" i="1"/>
  <c r="X47" i="1" l="1"/>
  <c r="W48" i="1"/>
  <c r="W49" i="1" l="1"/>
  <c r="X48" i="1"/>
  <c r="W50" i="1" l="1"/>
  <c r="X49" i="1"/>
  <c r="W51" i="1" l="1"/>
  <c r="X50" i="1"/>
  <c r="W52" i="1" l="1"/>
  <c r="X51" i="1"/>
  <c r="W53" i="1" l="1"/>
  <c r="X52" i="1"/>
  <c r="W54" i="1" l="1"/>
  <c r="X53" i="1"/>
  <c r="W55" i="1" l="1"/>
  <c r="X54" i="1"/>
  <c r="X55" i="1" l="1"/>
  <c r="W56" i="1"/>
  <c r="X56" i="1" l="1"/>
  <c r="W57" i="1"/>
  <c r="X57" i="1" l="1"/>
  <c r="W58" i="1"/>
  <c r="X58" i="1" l="1"/>
  <c r="W59" i="1"/>
  <c r="X59" i="1" l="1"/>
  <c r="W60" i="1"/>
  <c r="X60" i="1" l="1"/>
  <c r="W61" i="1"/>
  <c r="W62" i="1" l="1"/>
  <c r="X61" i="1"/>
  <c r="W63" i="1" l="1"/>
  <c r="X62" i="1"/>
  <c r="X63" i="1" l="1"/>
  <c r="W64" i="1"/>
  <c r="X64" i="1" l="1"/>
  <c r="W65" i="1"/>
  <c r="X65" i="1" l="1"/>
  <c r="W66" i="1"/>
  <c r="W67" i="1" l="1"/>
  <c r="X66" i="1"/>
  <c r="W68" i="1" l="1"/>
  <c r="X67" i="1"/>
  <c r="W69" i="1" l="1"/>
  <c r="X68" i="1"/>
  <c r="W70" i="1" l="1"/>
  <c r="X69" i="1"/>
  <c r="W71" i="1" l="1"/>
  <c r="X70" i="1"/>
  <c r="X71" i="1" l="1"/>
  <c r="W72" i="1"/>
  <c r="W73" i="1" l="1"/>
  <c r="X72" i="1"/>
  <c r="W74" i="1" l="1"/>
  <c r="X73" i="1"/>
  <c r="W75" i="1" l="1"/>
  <c r="X74" i="1"/>
  <c r="X75" i="1" l="1"/>
  <c r="W76" i="1"/>
  <c r="X76" i="1" l="1"/>
  <c r="W77" i="1"/>
  <c r="X77" i="1" l="1"/>
  <c r="W78" i="1"/>
  <c r="W79" i="1" l="1"/>
  <c r="X78" i="1"/>
  <c r="X79" i="1" l="1"/>
  <c r="W80" i="1"/>
  <c r="X80" i="1" l="1"/>
  <c r="W81" i="1"/>
  <c r="X81" i="1" l="1"/>
  <c r="W82" i="1"/>
  <c r="W83" i="1" l="1"/>
  <c r="X82" i="1"/>
  <c r="X83" i="1" l="1"/>
  <c r="W84" i="1"/>
  <c r="X84" i="1" l="1"/>
  <c r="W85" i="1"/>
  <c r="X85" i="1" l="1"/>
  <c r="W86" i="1"/>
  <c r="W87" i="1" l="1"/>
  <c r="X86" i="1"/>
  <c r="W88" i="1" l="1"/>
  <c r="X87" i="1"/>
  <c r="W89" i="1" l="1"/>
  <c r="X88" i="1"/>
  <c r="X89" i="1" l="1"/>
  <c r="W90" i="1"/>
  <c r="W91" i="1" l="1"/>
  <c r="X90" i="1"/>
  <c r="X91" i="1" l="1"/>
  <c r="W92" i="1"/>
  <c r="X92" i="1" l="1"/>
  <c r="W93" i="1"/>
  <c r="W94" i="1" l="1"/>
  <c r="X93" i="1"/>
  <c r="W95" i="1" l="1"/>
  <c r="X94" i="1"/>
  <c r="X95" i="1" l="1"/>
  <c r="W96" i="1"/>
  <c r="W97" i="1" l="1"/>
  <c r="X96" i="1"/>
  <c r="X97" i="1" l="1"/>
  <c r="W98" i="1"/>
  <c r="W99" i="1" l="1"/>
  <c r="X98" i="1"/>
  <c r="X99" i="1" l="1"/>
  <c r="W100" i="1"/>
  <c r="X100" i="1" l="1"/>
  <c r="W101" i="1"/>
  <c r="W102" i="1" l="1"/>
  <c r="X101" i="1"/>
  <c r="W103" i="1" l="1"/>
  <c r="X102" i="1"/>
  <c r="W104" i="1" l="1"/>
  <c r="X103" i="1"/>
  <c r="X104" i="1" l="1"/>
  <c r="W105" i="1"/>
  <c r="X105" i="1" l="1"/>
  <c r="W106" i="1"/>
  <c r="W107" i="1" l="1"/>
  <c r="X106" i="1"/>
  <c r="X107" i="1" l="1"/>
  <c r="W108" i="1"/>
  <c r="X108" i="1" l="1"/>
  <c r="W109" i="1"/>
  <c r="X109" i="1" l="1"/>
  <c r="W110" i="1"/>
  <c r="W111" i="1" l="1"/>
  <c r="X110" i="1"/>
  <c r="X111" i="1" l="1"/>
  <c r="W112" i="1"/>
  <c r="X112" i="1" l="1"/>
  <c r="W113" i="1"/>
  <c r="X113" i="1" l="1"/>
  <c r="W114" i="1"/>
  <c r="W115" i="1" l="1"/>
  <c r="X114" i="1"/>
  <c r="X115" i="1" l="1"/>
  <c r="W116" i="1"/>
  <c r="X116" i="1" l="1"/>
  <c r="W117" i="1"/>
  <c r="W118" i="1" l="1"/>
  <c r="X117" i="1"/>
  <c r="W119" i="1" l="1"/>
  <c r="X118" i="1"/>
  <c r="X119" i="1" l="1"/>
  <c r="W120" i="1"/>
  <c r="W121" i="1" l="1"/>
  <c r="X120" i="1"/>
  <c r="X121" i="1" l="1"/>
  <c r="W122" i="1"/>
  <c r="X122" i="1" l="1"/>
  <c r="W123" i="1"/>
  <c r="X123" i="1" l="1"/>
  <c r="W124" i="1"/>
  <c r="W125" i="1" l="1"/>
  <c r="X124" i="1"/>
  <c r="V10" i="1" s="1"/>
  <c r="X125" i="1" l="1"/>
  <c r="V11" i="1" s="1"/>
  <c r="U13" i="1" s="1"/>
  <c r="W126" i="1"/>
  <c r="C24" i="1" l="1"/>
  <c r="AD6" i="1"/>
  <c r="W127" i="1"/>
  <c r="X126" i="1"/>
  <c r="AF6" i="1" l="1"/>
  <c r="AF5" i="1"/>
  <c r="X127" i="1"/>
  <c r="W128" i="1"/>
  <c r="X128" i="1" l="1"/>
  <c r="W129" i="1"/>
  <c r="X129" i="1" l="1"/>
  <c r="W130" i="1"/>
  <c r="X130" i="1" l="1"/>
  <c r="W131" i="1"/>
  <c r="W132" i="1" l="1"/>
  <c r="X131" i="1"/>
  <c r="X132" i="1" l="1"/>
  <c r="W133" i="1"/>
  <c r="X133" i="1" l="1"/>
  <c r="W134" i="1"/>
  <c r="X134" i="1" l="1"/>
  <c r="W135" i="1"/>
  <c r="X135" i="1" l="1"/>
  <c r="W136" i="1"/>
  <c r="W137" i="1" l="1"/>
  <c r="X136" i="1"/>
  <c r="X137" i="1" l="1"/>
  <c r="W138" i="1"/>
  <c r="X138" i="1" l="1"/>
  <c r="W139" i="1"/>
  <c r="W140" i="1" l="1"/>
  <c r="X139" i="1"/>
  <c r="X140" i="1" l="1"/>
  <c r="W141" i="1"/>
  <c r="X141" i="1" l="1"/>
  <c r="W142" i="1"/>
  <c r="X142" i="1" l="1"/>
  <c r="W143" i="1"/>
  <c r="W144" i="1" l="1"/>
  <c r="X143" i="1"/>
  <c r="X144" i="1" l="1"/>
  <c r="W145" i="1"/>
  <c r="W146" i="1" l="1"/>
  <c r="X145" i="1"/>
  <c r="X146" i="1" l="1"/>
  <c r="W147" i="1"/>
  <c r="X147" i="1" l="1"/>
  <c r="W148" i="1"/>
  <c r="X148" i="1" l="1"/>
  <c r="W149" i="1"/>
  <c r="X149" i="1" l="1"/>
  <c r="W150" i="1"/>
  <c r="X150" i="1" l="1"/>
  <c r="W151" i="1"/>
  <c r="X151" i="1" l="1"/>
  <c r="W152" i="1"/>
  <c r="W153" i="1" l="1"/>
  <c r="X152" i="1"/>
  <c r="X153" i="1" l="1"/>
  <c r="W154" i="1"/>
  <c r="W155" i="1" l="1"/>
  <c r="X154" i="1"/>
  <c r="X155" i="1" l="1"/>
  <c r="W156" i="1"/>
  <c r="X156" i="1" l="1"/>
  <c r="W157" i="1"/>
  <c r="X157" i="1" l="1"/>
  <c r="W158" i="1"/>
  <c r="X158" i="1" l="1"/>
  <c r="W159" i="1"/>
  <c r="W160" i="1" l="1"/>
  <c r="X159" i="1"/>
  <c r="X160" i="1" l="1"/>
  <c r="W161" i="1"/>
  <c r="W162" i="1" l="1"/>
  <c r="X161" i="1"/>
  <c r="X162" i="1" l="1"/>
  <c r="W163" i="1"/>
  <c r="X163" i="1" l="1"/>
  <c r="W164" i="1"/>
  <c r="X164" i="1" l="1"/>
  <c r="W165" i="1"/>
  <c r="X165" i="1" l="1"/>
  <c r="W166" i="1"/>
  <c r="X166" i="1" l="1"/>
  <c r="W167" i="1"/>
  <c r="X167" i="1" l="1"/>
  <c r="W168" i="1"/>
  <c r="X168" i="1" l="1"/>
  <c r="W169" i="1"/>
  <c r="X169" i="1" l="1"/>
  <c r="W170" i="1"/>
  <c r="X170" i="1" l="1"/>
  <c r="W171" i="1"/>
  <c r="X171" i="1" l="1"/>
  <c r="W172" i="1"/>
  <c r="X172" i="1" l="1"/>
  <c r="W173" i="1"/>
  <c r="X173" i="1" l="1"/>
  <c r="W174" i="1"/>
  <c r="X174" i="1" l="1"/>
  <c r="W175" i="1"/>
  <c r="X175" i="1" l="1"/>
  <c r="W176" i="1"/>
  <c r="W177" i="1" l="1"/>
  <c r="X176" i="1"/>
  <c r="X177" i="1" l="1"/>
  <c r="W178" i="1"/>
  <c r="X178" i="1" l="1"/>
  <c r="W179" i="1"/>
  <c r="X179" i="1" l="1"/>
  <c r="W180" i="1"/>
  <c r="X180" i="1" l="1"/>
  <c r="W181" i="1"/>
  <c r="X181" i="1" l="1"/>
  <c r="W182" i="1"/>
  <c r="X182" i="1" l="1"/>
  <c r="W183" i="1"/>
  <c r="X183" i="1" l="1"/>
  <c r="W184" i="1"/>
  <c r="X184" i="1" l="1"/>
  <c r="W185" i="1"/>
  <c r="X185" i="1" l="1"/>
  <c r="W186" i="1"/>
  <c r="X186" i="1" l="1"/>
  <c r="W187" i="1"/>
  <c r="X187" i="1" l="1"/>
  <c r="W188" i="1"/>
  <c r="X188" i="1" l="1"/>
  <c r="W189" i="1"/>
  <c r="X189" i="1" l="1"/>
  <c r="W190" i="1"/>
  <c r="X190" i="1" l="1"/>
  <c r="W191" i="1"/>
  <c r="X191" i="1" l="1"/>
  <c r="W192" i="1"/>
  <c r="X192" i="1" l="1"/>
  <c r="W193" i="1"/>
  <c r="X193" i="1" l="1"/>
  <c r="W194" i="1"/>
  <c r="X194" i="1" l="1"/>
  <c r="W195" i="1"/>
  <c r="X195" i="1" l="1"/>
  <c r="W196" i="1"/>
  <c r="X196" i="1" l="1"/>
  <c r="W197" i="1"/>
  <c r="X197" i="1" l="1"/>
  <c r="W198" i="1"/>
  <c r="X198" i="1" l="1"/>
  <c r="W199" i="1"/>
  <c r="X199" i="1" l="1"/>
  <c r="W200" i="1"/>
  <c r="X200" i="1" l="1"/>
  <c r="W201" i="1"/>
  <c r="X201" i="1" l="1"/>
  <c r="W202" i="1"/>
  <c r="X202" i="1" l="1"/>
  <c r="W203" i="1"/>
  <c r="X203" i="1" l="1"/>
  <c r="W204" i="1"/>
  <c r="X204" i="1" l="1"/>
  <c r="W205" i="1"/>
  <c r="X205" i="1" l="1"/>
  <c r="W206" i="1"/>
  <c r="X206" i="1" l="1"/>
  <c r="W207" i="1"/>
  <c r="X207" i="1" l="1"/>
  <c r="W208" i="1"/>
  <c r="X208" i="1" l="1"/>
  <c r="W209" i="1"/>
  <c r="X209" i="1" l="1"/>
  <c r="W210" i="1"/>
  <c r="X210" i="1" l="1"/>
  <c r="W211" i="1"/>
  <c r="W212" i="1" l="1"/>
  <c r="X211" i="1"/>
  <c r="X212" i="1" l="1"/>
  <c r="W213" i="1"/>
  <c r="X213" i="1" l="1"/>
  <c r="W214" i="1"/>
  <c r="X214" i="1" l="1"/>
  <c r="W215" i="1"/>
  <c r="X215" i="1" l="1"/>
  <c r="W216" i="1"/>
  <c r="X216" i="1" l="1"/>
  <c r="W217" i="1"/>
  <c r="X217" i="1" l="1"/>
  <c r="W218" i="1"/>
  <c r="X218" i="1" l="1"/>
  <c r="W219" i="1"/>
  <c r="W220" i="1" l="1"/>
  <c r="X219" i="1"/>
  <c r="X220" i="1" l="1"/>
  <c r="W221" i="1"/>
  <c r="X221" i="1" l="1"/>
  <c r="W222" i="1"/>
  <c r="X222" i="1" l="1"/>
  <c r="W223" i="1"/>
  <c r="X223" i="1" l="1"/>
  <c r="W224" i="1"/>
  <c r="X224" i="1" l="1"/>
  <c r="W225" i="1"/>
  <c r="X225" i="1" l="1"/>
  <c r="W226" i="1"/>
  <c r="X226" i="1" l="1"/>
  <c r="W227" i="1"/>
  <c r="X227" i="1" l="1"/>
  <c r="W228" i="1"/>
  <c r="X228" i="1" l="1"/>
  <c r="W229" i="1"/>
  <c r="X229" i="1" l="1"/>
  <c r="W230" i="1"/>
  <c r="X230" i="1" l="1"/>
  <c r="W231" i="1"/>
  <c r="X231" i="1" l="1"/>
  <c r="W232" i="1"/>
  <c r="X232" i="1" l="1"/>
  <c r="W233" i="1"/>
  <c r="X233" i="1" l="1"/>
  <c r="W234" i="1"/>
  <c r="X234" i="1" l="1"/>
  <c r="W235" i="1"/>
  <c r="X235" i="1" l="1"/>
  <c r="W236" i="1"/>
  <c r="X236" i="1" l="1"/>
  <c r="W237" i="1"/>
  <c r="W238" i="1" l="1"/>
  <c r="X237" i="1"/>
  <c r="X238" i="1" l="1"/>
  <c r="W239" i="1"/>
  <c r="X239" i="1" l="1"/>
  <c r="W240" i="1"/>
  <c r="X240" i="1" l="1"/>
  <c r="W241" i="1"/>
  <c r="X241" i="1" l="1"/>
  <c r="W242" i="1"/>
  <c r="X242" i="1" l="1"/>
  <c r="W243" i="1"/>
  <c r="X243" i="1" l="1"/>
  <c r="W244" i="1"/>
  <c r="X244" i="1" l="1"/>
  <c r="W245" i="1"/>
  <c r="X245" i="1" l="1"/>
  <c r="W246" i="1"/>
  <c r="X246" i="1" l="1"/>
  <c r="W247" i="1"/>
  <c r="X247" i="1" l="1"/>
  <c r="W248" i="1"/>
  <c r="X248" i="1" l="1"/>
  <c r="W249" i="1"/>
  <c r="X249" i="1" l="1"/>
  <c r="W250" i="1"/>
  <c r="W251" i="1" l="1"/>
  <c r="X250" i="1"/>
  <c r="X251" i="1" l="1"/>
  <c r="W252" i="1"/>
  <c r="X252" i="1" l="1"/>
  <c r="W253" i="1"/>
  <c r="X253" i="1" l="1"/>
  <c r="W254" i="1"/>
  <c r="X254" i="1" l="1"/>
  <c r="W255" i="1"/>
  <c r="X255" i="1" l="1"/>
  <c r="W256" i="1"/>
  <c r="X256" i="1" l="1"/>
  <c r="W257" i="1"/>
  <c r="X257" i="1" l="1"/>
  <c r="W258" i="1"/>
  <c r="X258" i="1" l="1"/>
  <c r="W259" i="1"/>
  <c r="X259" i="1" l="1"/>
  <c r="W260" i="1"/>
  <c r="X260" i="1" l="1"/>
  <c r="W261" i="1"/>
  <c r="W262" i="1" l="1"/>
  <c r="X261" i="1"/>
  <c r="X262" i="1" l="1"/>
  <c r="W263" i="1"/>
  <c r="X263" i="1" l="1"/>
  <c r="W264" i="1"/>
  <c r="X264" i="1" l="1"/>
  <c r="W265" i="1"/>
  <c r="W266" i="1" l="1"/>
  <c r="X265" i="1"/>
  <c r="X266" i="1" l="1"/>
  <c r="W267" i="1"/>
  <c r="X267" i="1" l="1"/>
  <c r="W268" i="1"/>
  <c r="X268" i="1" l="1"/>
  <c r="W269" i="1"/>
  <c r="X269" i="1" l="1"/>
  <c r="W270" i="1"/>
  <c r="X270" i="1" l="1"/>
  <c r="W271" i="1"/>
  <c r="X271" i="1" l="1"/>
  <c r="W272" i="1"/>
  <c r="X272" i="1" l="1"/>
  <c r="W273" i="1"/>
  <c r="X273" i="1" l="1"/>
  <c r="W274" i="1"/>
  <c r="X274" i="1" l="1"/>
  <c r="W275" i="1"/>
  <c r="X275" i="1" l="1"/>
  <c r="W276" i="1"/>
  <c r="X276" i="1" l="1"/>
  <c r="W277" i="1"/>
  <c r="X277" i="1" l="1"/>
  <c r="W278" i="1"/>
  <c r="X278" i="1" l="1"/>
  <c r="W279" i="1"/>
  <c r="X279" i="1" l="1"/>
  <c r="W280" i="1"/>
  <c r="X280" i="1" l="1"/>
  <c r="W281" i="1"/>
  <c r="X281" i="1" l="1"/>
  <c r="W282" i="1"/>
  <c r="X282" i="1" l="1"/>
  <c r="W283" i="1"/>
  <c r="X283" i="1" l="1"/>
  <c r="W284" i="1"/>
  <c r="X284" i="1" l="1"/>
  <c r="W285" i="1"/>
  <c r="X285" i="1" l="1"/>
  <c r="W286" i="1"/>
  <c r="X286" i="1" l="1"/>
  <c r="W287" i="1"/>
  <c r="X287" i="1" l="1"/>
  <c r="W288" i="1"/>
  <c r="X288" i="1" l="1"/>
  <c r="W289" i="1"/>
  <c r="X289" i="1" l="1"/>
  <c r="W290" i="1"/>
  <c r="X290" i="1" l="1"/>
  <c r="W291" i="1"/>
  <c r="X291" i="1" l="1"/>
  <c r="W292" i="1"/>
  <c r="W293" i="1" l="1"/>
  <c r="X292" i="1"/>
  <c r="X293" i="1" l="1"/>
  <c r="W294" i="1"/>
  <c r="X294" i="1" l="1"/>
  <c r="W295" i="1"/>
  <c r="W296" i="1" l="1"/>
  <c r="X295" i="1"/>
  <c r="X296" i="1" l="1"/>
  <c r="W297" i="1"/>
  <c r="X297" i="1" l="1"/>
  <c r="W298" i="1"/>
  <c r="X298" i="1" l="1"/>
  <c r="W299" i="1"/>
  <c r="W300" i="1" l="1"/>
  <c r="X299" i="1"/>
  <c r="X300" i="1" l="1"/>
  <c r="W301" i="1"/>
  <c r="X301" i="1" l="1"/>
  <c r="W302" i="1"/>
  <c r="X302" i="1" l="1"/>
  <c r="W303" i="1"/>
  <c r="X303" i="1" l="1"/>
  <c r="W304" i="1"/>
  <c r="X304" i="1" l="1"/>
  <c r="W305" i="1"/>
  <c r="X305" i="1" l="1"/>
  <c r="W306" i="1"/>
  <c r="X306" i="1" l="1"/>
  <c r="W307" i="1"/>
  <c r="W308" i="1" l="1"/>
  <c r="X307" i="1"/>
  <c r="X308" i="1" l="1"/>
  <c r="W309" i="1"/>
  <c r="X309" i="1" l="1"/>
  <c r="W310" i="1"/>
  <c r="X310" i="1" l="1"/>
  <c r="W311" i="1"/>
  <c r="X311" i="1" l="1"/>
  <c r="W312" i="1"/>
  <c r="X312" i="1" l="1"/>
  <c r="W313" i="1"/>
  <c r="X313" i="1" l="1"/>
  <c r="W314" i="1"/>
  <c r="X314" i="1" l="1"/>
  <c r="W315" i="1"/>
  <c r="X315" i="1" l="1"/>
  <c r="W316" i="1"/>
  <c r="X316" i="1" l="1"/>
  <c r="W317" i="1"/>
  <c r="X317" i="1" l="1"/>
  <c r="W318" i="1"/>
  <c r="X318" i="1" l="1"/>
  <c r="W319" i="1"/>
  <c r="X319" i="1" l="1"/>
  <c r="W320" i="1"/>
  <c r="W321" i="1" l="1"/>
  <c r="X320" i="1"/>
  <c r="X321" i="1" l="1"/>
  <c r="W322" i="1"/>
  <c r="X322" i="1" l="1"/>
  <c r="W323" i="1"/>
  <c r="X323" i="1" l="1"/>
  <c r="W324" i="1"/>
  <c r="X324" i="1" l="1"/>
  <c r="W325" i="1"/>
  <c r="X325" i="1" l="1"/>
  <c r="W326" i="1"/>
  <c r="X326" i="1" l="1"/>
  <c r="W327" i="1"/>
  <c r="X327" i="1" l="1"/>
  <c r="W328" i="1"/>
  <c r="X328" i="1" l="1"/>
  <c r="W329" i="1"/>
  <c r="X329" i="1" l="1"/>
  <c r="W330" i="1"/>
  <c r="X330" i="1" l="1"/>
  <c r="W331" i="1"/>
  <c r="W332" i="1" l="1"/>
  <c r="X331" i="1"/>
  <c r="X332" i="1" l="1"/>
  <c r="W333" i="1"/>
  <c r="X333" i="1" l="1"/>
  <c r="W334" i="1"/>
  <c r="X334" i="1" l="1"/>
  <c r="W335" i="1"/>
  <c r="X335" i="1" l="1"/>
  <c r="W336" i="1"/>
  <c r="X336" i="1" l="1"/>
  <c r="W337" i="1"/>
  <c r="X337" i="1" l="1"/>
  <c r="W338" i="1"/>
  <c r="X338" i="1" l="1"/>
  <c r="W339" i="1"/>
  <c r="X339" i="1" l="1"/>
  <c r="W340" i="1"/>
  <c r="X340" i="1" l="1"/>
  <c r="W341" i="1"/>
  <c r="X341" i="1" l="1"/>
  <c r="W342" i="1"/>
  <c r="W343" i="1" l="1"/>
  <c r="X342" i="1"/>
  <c r="W344" i="1" l="1"/>
  <c r="X343" i="1"/>
  <c r="X344" i="1" l="1"/>
  <c r="W345" i="1"/>
  <c r="X345" i="1" l="1"/>
  <c r="W346" i="1"/>
  <c r="X346" i="1" l="1"/>
  <c r="W347" i="1"/>
  <c r="X347" i="1" l="1"/>
  <c r="W348" i="1"/>
  <c r="X348" i="1" l="1"/>
  <c r="W349" i="1"/>
  <c r="W350" i="1" l="1"/>
  <c r="X349" i="1"/>
  <c r="X350" i="1" l="1"/>
  <c r="W351" i="1"/>
  <c r="X351" i="1" l="1"/>
  <c r="W352" i="1"/>
  <c r="X352" i="1" l="1"/>
  <c r="W353" i="1"/>
  <c r="W354" i="1" l="1"/>
  <c r="X353" i="1"/>
  <c r="X354" i="1" l="1"/>
  <c r="W355" i="1"/>
  <c r="X355" i="1" l="1"/>
  <c r="W356" i="1"/>
  <c r="W357" i="1" l="1"/>
  <c r="X356" i="1"/>
  <c r="X357" i="1" l="1"/>
  <c r="W358" i="1"/>
  <c r="X358" i="1" l="1"/>
  <c r="W359" i="1"/>
  <c r="W360" i="1" l="1"/>
  <c r="X359" i="1"/>
  <c r="X360" i="1" l="1"/>
  <c r="W361" i="1"/>
  <c r="X361" i="1" l="1"/>
  <c r="W362" i="1"/>
  <c r="X362" i="1" l="1"/>
  <c r="W363" i="1"/>
  <c r="X363" i="1" l="1"/>
  <c r="W364" i="1"/>
  <c r="X364" i="1" l="1"/>
  <c r="W365" i="1"/>
  <c r="W366" i="1" l="1"/>
  <c r="X365" i="1"/>
  <c r="X366" i="1" l="1"/>
  <c r="W367" i="1"/>
  <c r="X367" i="1" l="1"/>
  <c r="W368" i="1"/>
  <c r="X368" i="1" l="1"/>
  <c r="W369" i="1"/>
  <c r="W370" i="1" l="1"/>
  <c r="X369" i="1"/>
  <c r="X370" i="1" l="1"/>
  <c r="W371" i="1"/>
  <c r="X371" i="1" l="1"/>
  <c r="W372" i="1"/>
  <c r="X372" i="1" l="1"/>
  <c r="W373" i="1"/>
  <c r="X373" i="1" l="1"/>
  <c r="W374" i="1"/>
  <c r="X374" i="1" l="1"/>
  <c r="W375" i="1"/>
  <c r="X375" i="1" l="1"/>
  <c r="W376" i="1"/>
  <c r="W377" i="1" l="1"/>
  <c r="X376" i="1"/>
  <c r="W378" i="1" l="1"/>
  <c r="X377" i="1"/>
  <c r="X378" i="1" l="1"/>
  <c r="W379" i="1"/>
  <c r="X379" i="1" l="1"/>
  <c r="W380" i="1"/>
  <c r="X380" i="1" l="1"/>
  <c r="W381" i="1"/>
  <c r="X381" i="1" l="1"/>
  <c r="W382" i="1"/>
  <c r="X382" i="1" l="1"/>
  <c r="W383" i="1"/>
  <c r="X383" i="1" l="1"/>
  <c r="W384" i="1"/>
  <c r="X384" i="1" l="1"/>
  <c r="W385" i="1"/>
  <c r="X385" i="1" l="1"/>
  <c r="W386" i="1"/>
  <c r="X386" i="1" l="1"/>
  <c r="W387" i="1"/>
  <c r="X387" i="1" l="1"/>
  <c r="W388" i="1"/>
  <c r="X388" i="1" l="1"/>
  <c r="W389" i="1"/>
  <c r="X389" i="1" l="1"/>
  <c r="W390" i="1"/>
  <c r="X390" i="1" l="1"/>
  <c r="W391" i="1"/>
  <c r="X391" i="1" l="1"/>
  <c r="W392" i="1"/>
  <c r="X392" i="1" l="1"/>
  <c r="W393" i="1"/>
  <c r="X393" i="1" l="1"/>
  <c r="W394" i="1"/>
  <c r="X394" i="1" l="1"/>
  <c r="W395" i="1"/>
  <c r="X395" i="1" l="1"/>
  <c r="W396" i="1"/>
  <c r="X396" i="1" l="1"/>
  <c r="W397" i="1"/>
  <c r="X397" i="1" l="1"/>
  <c r="W398" i="1"/>
  <c r="X398" i="1" l="1"/>
  <c r="W399" i="1"/>
  <c r="W400" i="1" l="1"/>
  <c r="X399" i="1"/>
  <c r="X400" i="1" l="1"/>
  <c r="W401" i="1"/>
  <c r="X401" i="1" l="1"/>
  <c r="W402" i="1"/>
  <c r="X402" i="1" l="1"/>
  <c r="W403" i="1"/>
  <c r="X403" i="1" l="1"/>
  <c r="W404" i="1"/>
  <c r="X404" i="1" l="1"/>
  <c r="W405" i="1"/>
  <c r="X405" i="1" l="1"/>
  <c r="W406" i="1"/>
  <c r="X406" i="1" l="1"/>
  <c r="W407" i="1"/>
  <c r="X407" i="1" l="1"/>
  <c r="W408" i="1"/>
  <c r="X408" i="1" l="1"/>
  <c r="W409" i="1"/>
  <c r="X409" i="1" l="1"/>
  <c r="W410" i="1"/>
  <c r="X410" i="1" l="1"/>
  <c r="W411" i="1"/>
  <c r="X411" i="1" l="1"/>
  <c r="W412" i="1"/>
  <c r="X412" i="1" l="1"/>
  <c r="W413" i="1"/>
  <c r="W414" i="1" l="1"/>
  <c r="X413" i="1"/>
  <c r="X414" i="1" l="1"/>
  <c r="W415" i="1"/>
  <c r="X415" i="1" l="1"/>
  <c r="W416" i="1"/>
  <c r="X416" i="1" l="1"/>
  <c r="W417" i="1"/>
  <c r="X417" i="1" l="1"/>
  <c r="W418" i="1"/>
  <c r="X418" i="1" l="1"/>
  <c r="W419" i="1"/>
  <c r="X419" i="1" l="1"/>
  <c r="W420" i="1"/>
  <c r="X420" i="1" l="1"/>
  <c r="W421" i="1"/>
  <c r="X421" i="1" l="1"/>
  <c r="W422" i="1"/>
  <c r="X422" i="1" l="1"/>
  <c r="W423" i="1"/>
  <c r="X423" i="1" l="1"/>
  <c r="W424" i="1"/>
  <c r="X424" i="1" l="1"/>
  <c r="W425" i="1"/>
  <c r="X425" i="1" l="1"/>
  <c r="W426" i="1"/>
  <c r="X426" i="1" l="1"/>
  <c r="W427" i="1"/>
  <c r="X427" i="1" l="1"/>
  <c r="W428" i="1"/>
  <c r="X428" i="1" l="1"/>
  <c r="W429" i="1"/>
  <c r="X429" i="1" l="1"/>
  <c r="W430" i="1"/>
  <c r="X430" i="1" l="1"/>
  <c r="W431" i="1"/>
  <c r="X431" i="1" l="1"/>
  <c r="W432" i="1"/>
  <c r="X432" i="1" l="1"/>
  <c r="W433" i="1"/>
  <c r="X433" i="1" l="1"/>
  <c r="W434" i="1"/>
  <c r="X434" i="1" l="1"/>
  <c r="W435" i="1"/>
  <c r="X435" i="1" l="1"/>
  <c r="W436" i="1"/>
  <c r="X436" i="1" l="1"/>
  <c r="W437" i="1"/>
  <c r="X437" i="1" l="1"/>
  <c r="W438" i="1"/>
  <c r="X438" i="1" l="1"/>
  <c r="W439" i="1"/>
  <c r="X439" i="1" l="1"/>
  <c r="W440" i="1"/>
  <c r="X440" i="1" l="1"/>
  <c r="W441" i="1"/>
  <c r="X441" i="1" l="1"/>
  <c r="W442" i="1"/>
  <c r="X442" i="1" l="1"/>
  <c r="W443" i="1"/>
  <c r="X443" i="1" l="1"/>
  <c r="W444" i="1"/>
  <c r="X444" i="1" l="1"/>
  <c r="W445" i="1"/>
  <c r="X445" i="1" l="1"/>
  <c r="W446" i="1"/>
  <c r="X446" i="1" l="1"/>
  <c r="W447" i="1"/>
  <c r="X447" i="1" l="1"/>
  <c r="W448" i="1"/>
  <c r="X448" i="1" l="1"/>
  <c r="W449" i="1"/>
  <c r="W450" i="1" l="1"/>
  <c r="X449" i="1"/>
  <c r="X450" i="1" l="1"/>
  <c r="W451" i="1"/>
  <c r="X451" i="1" l="1"/>
  <c r="W452" i="1"/>
  <c r="X452" i="1" l="1"/>
  <c r="W453" i="1"/>
  <c r="X453" i="1" l="1"/>
  <c r="W454" i="1"/>
  <c r="X454" i="1" l="1"/>
  <c r="W455" i="1"/>
  <c r="X455" i="1" l="1"/>
  <c r="W456" i="1"/>
  <c r="X456" i="1" l="1"/>
  <c r="W457" i="1"/>
  <c r="X457" i="1" l="1"/>
  <c r="W458" i="1"/>
  <c r="X458" i="1" l="1"/>
  <c r="W459" i="1"/>
  <c r="X459" i="1" l="1"/>
  <c r="W460" i="1"/>
  <c r="X460" i="1" l="1"/>
  <c r="W461" i="1"/>
  <c r="X461" i="1" l="1"/>
  <c r="W462" i="1"/>
  <c r="X462" i="1" l="1"/>
  <c r="W463" i="1"/>
  <c r="X463" i="1" l="1"/>
  <c r="W464" i="1"/>
  <c r="W465" i="1" l="1"/>
  <c r="X464" i="1"/>
  <c r="W466" i="1" l="1"/>
  <c r="X465" i="1"/>
  <c r="X466" i="1" l="1"/>
  <c r="W467" i="1"/>
  <c r="W468" i="1" l="1"/>
  <c r="X467" i="1"/>
  <c r="X468" i="1" l="1"/>
  <c r="W469" i="1"/>
  <c r="X469" i="1" l="1"/>
  <c r="W470" i="1"/>
  <c r="X470" i="1" l="1"/>
  <c r="W471" i="1"/>
  <c r="W472" i="1" l="1"/>
  <c r="X471" i="1"/>
  <c r="X472" i="1" l="1"/>
  <c r="W473" i="1"/>
  <c r="X473" i="1" l="1"/>
  <c r="W474" i="1"/>
  <c r="X474" i="1" l="1"/>
  <c r="W475" i="1"/>
  <c r="W476" i="1" l="1"/>
  <c r="X475" i="1"/>
  <c r="X476" i="1" l="1"/>
  <c r="W477" i="1"/>
  <c r="X477" i="1" l="1"/>
  <c r="W478" i="1"/>
  <c r="X478" i="1" l="1"/>
  <c r="W479" i="1"/>
  <c r="W480" i="1" l="1"/>
  <c r="X479" i="1"/>
  <c r="X480" i="1" l="1"/>
  <c r="W481" i="1"/>
  <c r="X481" i="1" l="1"/>
  <c r="W482" i="1"/>
  <c r="X482" i="1" l="1"/>
  <c r="W483" i="1"/>
  <c r="X483" i="1" l="1"/>
  <c r="W484" i="1"/>
  <c r="X484" i="1" l="1"/>
  <c r="W485" i="1"/>
  <c r="X485" i="1" l="1"/>
  <c r="W486" i="1"/>
  <c r="X486" i="1" l="1"/>
  <c r="W487" i="1"/>
  <c r="W488" i="1" l="1"/>
  <c r="X487" i="1"/>
  <c r="X488" i="1" l="1"/>
  <c r="W489" i="1"/>
  <c r="X489" i="1" l="1"/>
  <c r="W490" i="1"/>
  <c r="W491" i="1" l="1"/>
  <c r="X490" i="1"/>
  <c r="W492" i="1" l="1"/>
  <c r="X491" i="1"/>
  <c r="X492" i="1" l="1"/>
  <c r="W493" i="1"/>
  <c r="X493" i="1" l="1"/>
  <c r="W494" i="1"/>
  <c r="W495" i="1" l="1"/>
  <c r="X494" i="1"/>
  <c r="W496" i="1" l="1"/>
  <c r="X495" i="1"/>
  <c r="X496" i="1" l="1"/>
  <c r="W497" i="1"/>
  <c r="X497" i="1" l="1"/>
  <c r="W498" i="1"/>
  <c r="X498" i="1" l="1"/>
  <c r="W499" i="1"/>
  <c r="X499" i="1" l="1"/>
  <c r="W500" i="1"/>
  <c r="X500" i="1" l="1"/>
  <c r="W501" i="1"/>
  <c r="X501" i="1" l="1"/>
  <c r="W502" i="1"/>
  <c r="W503" i="1" l="1"/>
  <c r="X502" i="1"/>
  <c r="X503" i="1" l="1"/>
  <c r="W504" i="1"/>
  <c r="X504" i="1" l="1"/>
  <c r="W505" i="1"/>
  <c r="X505" i="1" s="1"/>
</calcChain>
</file>

<file path=xl/sharedStrings.xml><?xml version="1.0" encoding="utf-8"?>
<sst xmlns="http://schemas.openxmlformats.org/spreadsheetml/2006/main" count="31" uniqueCount="26">
  <si>
    <t>Bins</t>
  </si>
  <si>
    <t>EL</t>
  </si>
  <si>
    <t>Int Points</t>
  </si>
  <si>
    <t>Corr</t>
  </si>
  <si>
    <t>PD</t>
  </si>
  <si>
    <t>Rec</t>
  </si>
  <si>
    <t xml:space="preserve">Notional </t>
  </si>
  <si>
    <t>Monte Carlo</t>
  </si>
  <si>
    <t>Rho</t>
  </si>
  <si>
    <t>Sims</t>
  </si>
  <si>
    <t>UL</t>
  </si>
  <si>
    <t>Conditional Normal Approximation</t>
  </si>
  <si>
    <t>Type</t>
  </si>
  <si>
    <t># loans</t>
  </si>
  <si>
    <t>Size</t>
  </si>
  <si>
    <t>Recovery</t>
  </si>
  <si>
    <t>Quantile</t>
  </si>
  <si>
    <t>Total Notional</t>
  </si>
  <si>
    <t>Other Inputs / Calcs</t>
  </si>
  <si>
    <t>Portfolio details</t>
  </si>
  <si>
    <t>Unexpected loss</t>
  </si>
  <si>
    <t xml:space="preserve">Analytical </t>
  </si>
  <si>
    <t>Seed</t>
  </si>
  <si>
    <t>Vasicek</t>
  </si>
  <si>
    <t>UL Vasicek</t>
  </si>
  <si>
    <t>Ratio EL/UL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</si>
</sst>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3" formatCode="_-* #,##0.00_-;\-* #,##0.00_-;_-* &quot;-&quot;??_-;_-@_-"/>
    <numFmt numFmtId="164" formatCode="0.0000000"/>
    <numFmt numFmtId="165" formatCode="0.00000"/>
    <numFmt numFmtId="166" formatCode="&quot;$&quot;#,##0_);\(&quot;$&quot;#,##0\)"/>
    <numFmt numFmtId="167" formatCode="&quot;$&quot;#,##0.00_);[Red]\(&quot;$&quot;#,##0.00\)"/>
    <numFmt numFmtId="168" formatCode="_(&quot;$&quot;* #,##0.00_);_(&quot;$&quot;* \(#,##0.00\);_(&quot;$&quot;* &quot;-&quot;??_);_(@_)"/>
    <numFmt numFmtId="169" formatCode="0.0000"/>
    <numFmt numFmtId="170" formatCode="0.000%"/>
    <numFmt numFmtId="171" formatCode="[$-409]d\-mmm\-yy;@"/>
    <numFmt numFmtId="172" formatCode="#,##0.00&quot; kr&quot;;[Red]&quot;-&quot;#,##0.00&quot; kr&quot;"/>
    <numFmt numFmtId="173" formatCode="_ * #,##0.00_ ;_ * \-#,##0.00_ ;_ * &quot;-&quot;??_ ;_ @_ "/>
    <numFmt numFmtId="174" formatCode="_ * #,##0_ ;_ * \-#,##0_ ;_ * &quot;-&quot;_ ;_ @_ "/>
    <numFmt numFmtId="175" formatCode="&quot;$&quot;#.##"/>
    <numFmt numFmtId="176" formatCode="&quot;$&quot;#,##0\ ;\(&quot;$&quot;#,##0\)"/>
    <numFmt numFmtId="177" formatCode="0.00_)"/>
    <numFmt numFmtId="178" formatCode="#,##0_ ;[Red]\-#,##0\ "/>
    <numFmt numFmtId="179" formatCode="#,##0.0;#,##0.0"/>
    <numFmt numFmtId="180" formatCode="\+#,##0.00;\-#,##0.00"/>
    <numFmt numFmtId="181" formatCode="_-* #,##0_-;\-* #,##0_-;_-* &quot;-&quot;??_-;_-@_-"/>
    <numFmt numFmtId="182" formatCode="0.000000"/>
    <numFmt numFmtId="183" formatCode="0.00000000"/>
    <numFmt numFmtId="184" formatCode="0.000"/>
    <numFmt numFmtId="185" formatCode="_-* #,##0.0_-;\-* #,##0.0_-;_-* &quot;-&quot;??_-;_-@_-"/>
    <numFmt numFmtId="186" formatCode="_-* #,##0.000_-;\-* #,##0.000_-;_-* &quot;-&quot;??_-;_-@_-"/>
    <numFmt numFmtId="187" formatCode="#,##0.0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1"/>
      <color indexed="23"/>
      <name val="Calibri"/>
      <family val="2"/>
    </font>
    <font>
      <i/>
      <sz val="10"/>
      <color rgb="FF969696"/>
      <name val="Tahoma"/>
      <family val="2"/>
    </font>
    <font>
      <b/>
      <sz val="10"/>
      <color theme="0"/>
      <name val="Tahoma"/>
      <family val="2"/>
    </font>
    <font>
      <sz val="10"/>
      <name val="Geneva"/>
    </font>
    <font>
      <sz val="10"/>
      <name val="Geneva"/>
      <family val="2"/>
    </font>
    <font>
      <sz val="11"/>
      <name val="??"/>
      <family val="1"/>
      <charset val="128"/>
    </font>
    <font>
      <sz val="10"/>
      <name val="MS Sans Serif"/>
      <family val="2"/>
    </font>
    <font>
      <sz val="10"/>
      <color indexed="10"/>
      <name val="MS Sans Serif"/>
      <family val="2"/>
    </font>
    <font>
      <b/>
      <sz val="11"/>
      <color indexed="9"/>
      <name val="Calibri"/>
      <family val="2"/>
    </font>
    <font>
      <sz val="12"/>
      <name val="Tms Rmn"/>
      <family val="1"/>
    </font>
    <font>
      <sz val="10"/>
      <name val="MS Serif"/>
      <family val="1"/>
    </font>
    <font>
      <sz val="10"/>
      <color indexed="16"/>
      <name val="MS Serif"/>
      <family val="1"/>
    </font>
    <font>
      <i/>
      <sz val="6.5"/>
      <name val="News Gothic"/>
      <family val="2"/>
    </font>
    <font>
      <sz val="8"/>
      <name val="Arial"/>
      <family val="2"/>
      <charset val="162"/>
    </font>
    <font>
      <b/>
      <sz val="12"/>
      <name val="Arial"/>
      <family val="2"/>
      <charset val="162"/>
    </font>
    <font>
      <b/>
      <sz val="18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6"/>
      <name val="Helv"/>
      <family val="2"/>
    </font>
    <font>
      <sz val="11"/>
      <color rgb="FF000000"/>
      <name val="Calibri"/>
      <family val="2"/>
      <scheme val="minor"/>
    </font>
    <font>
      <b/>
      <sz val="10"/>
      <name val="Arial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sz val="10"/>
      <color indexed="8"/>
      <name val="Tahoma"/>
      <family val="2"/>
    </font>
    <font>
      <i/>
      <sz val="8"/>
      <color theme="0" tint="-0.34998626667073579"/>
      <name val="Tahoma"/>
      <family val="2"/>
    </font>
    <font>
      <b/>
      <sz val="11"/>
      <color rgb="FF003C69"/>
      <name val="Tahoma"/>
      <family val="2"/>
    </font>
    <font>
      <b/>
      <sz val="11"/>
      <color rgb="FF6699CC"/>
      <name val="Tahoma"/>
      <family val="2"/>
    </font>
    <font>
      <sz val="18"/>
      <color rgb="FF7AB800"/>
      <name val="Tahoma"/>
      <family val="2"/>
    </font>
    <font>
      <sz val="18"/>
      <color theme="0"/>
      <name val="Tahoma"/>
      <family val="2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sz val="11"/>
      <name val="ＭＳ Ｐゴシック"/>
      <charset val="128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rgb="FFDFEAF4"/>
        <bgColor indexed="64"/>
      </patternFill>
    </fill>
    <fill>
      <patternFill patternType="solid">
        <fgColor rgb="FFDEF6FE"/>
        <bgColor indexed="64"/>
      </patternFill>
    </fill>
    <fill>
      <patternFill patternType="solid">
        <fgColor indexed="9"/>
        <bgColor indexed="64"/>
      </patternFill>
    </fill>
    <fill>
      <patternFill patternType="gray125">
        <fgColor rgb="FFC0C0C0"/>
        <bgColor theme="0"/>
      </patternFill>
    </fill>
    <fill>
      <patternFill patternType="solid">
        <fgColor rgb="FF6699CC"/>
        <bgColor indexed="64"/>
      </patternFill>
    </fill>
    <fill>
      <patternFill patternType="solid">
        <fgColor indexed="8"/>
      </patternFill>
    </fill>
    <fill>
      <patternFill patternType="solid">
        <fgColor rgb="FF4F81BD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rgb="FF969696"/>
        <bgColor indexed="64"/>
      </patternFill>
    </fill>
    <fill>
      <patternFill patternType="solid">
        <fgColor rgb="FF969696"/>
        <bgColor rgb="FF000000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FFEE1"/>
        <bgColor indexed="64"/>
      </patternFill>
    </fill>
    <fill>
      <patternFill patternType="mediumGray">
        <fgColor rgb="FFC0C0C0"/>
        <bgColor theme="2" tint="0.79998168889431442"/>
      </patternFill>
    </fill>
    <fill>
      <patternFill patternType="mediumGray">
        <fgColor rgb="FFC0C0C0"/>
        <bgColor rgb="FFFFFFCC"/>
      </patternFill>
    </fill>
    <fill>
      <patternFill patternType="solid">
        <fgColor rgb="FFE7F7FF"/>
        <bgColor indexed="64"/>
      </patternFill>
    </fill>
    <fill>
      <patternFill patternType="solid">
        <fgColor rgb="FF003C69"/>
        <bgColor indexed="64"/>
      </patternFill>
    </fill>
    <fill>
      <patternFill patternType="mediumGray">
        <fgColor rgb="FFC0C0C0"/>
        <bgColor rgb="FFCCCCFF"/>
      </patternFill>
    </fill>
    <fill>
      <patternFill patternType="solid">
        <fgColor rgb="FFFFFFFF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</fills>
  <borders count="5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/>
      <top/>
      <bottom/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/>
      <bottom style="thin">
        <color rgb="FFCC0033"/>
      </bottom>
      <diagonal/>
    </border>
    <border>
      <left/>
      <right/>
      <top/>
      <bottom style="hair">
        <color theme="0" tint="-0.34998626667073579"/>
      </bottom>
      <diagonal/>
    </border>
    <border>
      <left/>
      <right/>
      <top/>
      <bottom style="thick">
        <color theme="0" tint="-0.24994659260841701"/>
      </bottom>
      <diagonal/>
    </border>
    <border>
      <left/>
      <right/>
      <top/>
      <bottom style="thick">
        <color theme="0" tint="-0.34998626667073579"/>
      </bottom>
      <diagonal/>
    </border>
    <border>
      <left/>
      <right/>
      <top style="double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9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15" borderId="0"/>
    <xf numFmtId="43" fontId="2" fillId="0" borderId="0" applyFont="0" applyFill="0" applyBorder="0" applyAlignment="0" applyProtection="0"/>
    <xf numFmtId="0" fontId="2" fillId="15" borderId="0"/>
    <xf numFmtId="0" fontId="3" fillId="16" borderId="2" applyNumberFormat="0" applyBorder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171" fontId="5" fillId="19" borderId="2" applyNumberFormat="0" applyBorder="0" applyAlignment="0">
      <alignment horizontal="right"/>
    </xf>
    <xf numFmtId="0" fontId="6" fillId="20" borderId="5" applyNumberFormat="0" applyAlignment="0">
      <alignment horizontal="center" vertical="center"/>
    </xf>
    <xf numFmtId="166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172" fontId="8" fillId="0" borderId="0" applyFont="0" applyFill="0" applyBorder="0" applyAlignment="0" applyProtection="0"/>
    <xf numFmtId="173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0" fontId="9" fillId="0" borderId="0"/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" fontId="10" fillId="0" borderId="0"/>
    <xf numFmtId="0" fontId="11" fillId="21" borderId="0" applyAlignment="0"/>
    <xf numFmtId="0" fontId="12" fillId="22" borderId="0"/>
    <xf numFmtId="0" fontId="13" fillId="0" borderId="0" applyNumberFormat="0" applyFill="0" applyBorder="0" applyAlignment="0" applyProtection="0"/>
    <xf numFmtId="0" fontId="7" fillId="0" borderId="6" applyNumberFormat="0" applyFont="0" applyFill="0" applyAlignment="0" applyProtection="0"/>
    <xf numFmtId="0" fontId="7" fillId="0" borderId="7" applyNumberFormat="0" applyFont="0" applyFill="0" applyAlignment="0" applyProtection="0"/>
    <xf numFmtId="0" fontId="7" fillId="0" borderId="8" applyNumberFormat="0" applyFont="0" applyFill="0" applyAlignment="0" applyProtection="0"/>
    <xf numFmtId="0" fontId="7" fillId="0" borderId="9" applyNumberFormat="0" applyFont="0" applyFill="0" applyAlignment="0" applyProtection="0"/>
    <xf numFmtId="175" fontId="8" fillId="0" borderId="0" applyFill="0" applyBorder="0" applyAlignment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14" fillId="0" borderId="0" applyNumberFormat="0" applyAlignment="0">
      <alignment horizontal="left"/>
    </xf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5" fillId="0" borderId="0" applyNumberFormat="0" applyAlignment="0">
      <alignment horizontal="left"/>
    </xf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16" fillId="0" borderId="0">
      <alignment horizontal="left"/>
    </xf>
    <xf numFmtId="38" fontId="17" fillId="23" borderId="0" applyNumberFormat="0" applyBorder="0" applyAlignment="0" applyProtection="0"/>
    <xf numFmtId="0" fontId="18" fillId="0" borderId="10" applyNumberFormat="0" applyAlignment="0" applyProtection="0">
      <alignment horizontal="left" vertical="center"/>
    </xf>
    <xf numFmtId="0" fontId="18" fillId="0" borderId="11">
      <alignment horizontal="left" vertical="center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2" fillId="24" borderId="0" applyNumberFormat="0" applyBorder="0">
      <alignment horizontal="right" vertical="center"/>
    </xf>
    <xf numFmtId="19" fontId="22" fillId="24" borderId="12" applyNumberFormat="0" applyBorder="0">
      <alignment horizontal="left" vertical="center"/>
    </xf>
    <xf numFmtId="2" fontId="23" fillId="25" borderId="0">
      <alignment horizontal="center" vertical="center"/>
    </xf>
    <xf numFmtId="2" fontId="23" fillId="25" borderId="13" applyBorder="0">
      <alignment horizontal="left" vertical="center"/>
    </xf>
    <xf numFmtId="0" fontId="22" fillId="24" borderId="0">
      <alignment horizontal="right" vertical="center"/>
    </xf>
    <xf numFmtId="19" fontId="24" fillId="24" borderId="14" applyNumberFormat="0" applyBorder="0">
      <alignment horizontal="left" vertical="center" indent="1"/>
    </xf>
    <xf numFmtId="2" fontId="25" fillId="25" borderId="7" applyBorder="0">
      <alignment horizontal="left" vertical="center" indent="1"/>
    </xf>
    <xf numFmtId="2" fontId="25" fillId="25" borderId="15" applyBorder="0">
      <alignment horizontal="center" vertical="center"/>
    </xf>
    <xf numFmtId="2" fontId="2" fillId="26" borderId="16" applyBorder="0">
      <alignment horizontal="left" vertical="center" indent="1"/>
    </xf>
    <xf numFmtId="0" fontId="2" fillId="26" borderId="0">
      <alignment horizontal="right" vertical="center"/>
    </xf>
    <xf numFmtId="2" fontId="2" fillId="26" borderId="12" applyNumberFormat="0" applyBorder="0">
      <alignment horizontal="right" vertical="center"/>
    </xf>
    <xf numFmtId="2" fontId="26" fillId="27" borderId="14" applyBorder="0">
      <alignment horizontal="left" vertical="center" indent="1"/>
    </xf>
    <xf numFmtId="2" fontId="26" fillId="27" borderId="0">
      <alignment horizontal="right" vertical="center"/>
    </xf>
    <xf numFmtId="2" fontId="26" fillId="27" borderId="13" applyBorder="0">
      <alignment horizontal="left" vertical="center"/>
    </xf>
    <xf numFmtId="2" fontId="26" fillId="27" borderId="17" applyBorder="0">
      <alignment horizontal="center" vertical="center"/>
    </xf>
    <xf numFmtId="19" fontId="24" fillId="28" borderId="18" applyNumberFormat="0" applyBorder="0">
      <alignment horizontal="left" vertical="center"/>
    </xf>
    <xf numFmtId="15" fontId="24" fillId="28" borderId="15" applyNumberFormat="0" applyBorder="0">
      <alignment horizontal="right" vertical="center"/>
    </xf>
    <xf numFmtId="15" fontId="24" fillId="28" borderId="15" applyNumberFormat="0" applyBorder="0">
      <alignment horizontal="right" vertical="center"/>
    </xf>
    <xf numFmtId="15" fontId="24" fillId="28" borderId="15" applyNumberFormat="0" applyBorder="0">
      <alignment horizontal="right" vertical="center"/>
    </xf>
    <xf numFmtId="15" fontId="24" fillId="28" borderId="15" applyNumberFormat="0" applyBorder="0">
      <alignment horizontal="right" vertical="center"/>
    </xf>
    <xf numFmtId="19" fontId="24" fillId="28" borderId="19" applyNumberFormat="0" applyBorder="0">
      <alignment horizontal="right" vertical="center"/>
    </xf>
    <xf numFmtId="2" fontId="25" fillId="29" borderId="20" applyBorder="0">
      <alignment horizontal="left" vertical="center" indent="1"/>
    </xf>
    <xf numFmtId="2" fontId="25" fillId="29" borderId="13" applyNumberFormat="0">
      <alignment horizontal="center" vertical="center"/>
    </xf>
    <xf numFmtId="2" fontId="25" fillId="29" borderId="13" applyNumberFormat="0" applyBorder="0">
      <alignment horizontal="left" vertical="center"/>
    </xf>
    <xf numFmtId="2" fontId="2" fillId="30" borderId="19" applyNumberFormat="0" applyBorder="0">
      <alignment horizontal="right" vertical="center"/>
    </xf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177" fontId="27" fillId="0" borderId="0"/>
    <xf numFmtId="0" fontId="1" fillId="31" borderId="0"/>
    <xf numFmtId="0" fontId="2" fillId="15" borderId="0"/>
    <xf numFmtId="0" fontId="1" fillId="31" borderId="0"/>
    <xf numFmtId="0" fontId="28" fillId="32" borderId="0"/>
    <xf numFmtId="0" fontId="1" fillId="0" borderId="0"/>
    <xf numFmtId="0" fontId="2" fillId="0" borderId="0" applyBorder="0"/>
    <xf numFmtId="0" fontId="1" fillId="0" borderId="0"/>
    <xf numFmtId="0" fontId="1" fillId="0" borderId="0"/>
    <xf numFmtId="0" fontId="1" fillId="0" borderId="0"/>
    <xf numFmtId="0" fontId="2" fillId="15" borderId="0"/>
    <xf numFmtId="0" fontId="2" fillId="15" borderId="0"/>
    <xf numFmtId="0" fontId="2" fillId="15" borderId="0"/>
    <xf numFmtId="0" fontId="2" fillId="15" borderId="0"/>
    <xf numFmtId="0" fontId="2" fillId="15" borderId="0"/>
    <xf numFmtId="0" fontId="2" fillId="15" borderId="0"/>
    <xf numFmtId="0" fontId="28" fillId="0" borderId="0"/>
    <xf numFmtId="0" fontId="2" fillId="15" borderId="0"/>
    <xf numFmtId="0" fontId="28" fillId="32" borderId="0"/>
    <xf numFmtId="0" fontId="1" fillId="31" borderId="0"/>
    <xf numFmtId="0" fontId="1" fillId="31" borderId="0"/>
    <xf numFmtId="0" fontId="1" fillId="31" borderId="0"/>
    <xf numFmtId="0" fontId="1" fillId="31" borderId="0"/>
    <xf numFmtId="0" fontId="2" fillId="15" borderId="0"/>
    <xf numFmtId="0" fontId="2" fillId="15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Border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29" fillId="33" borderId="21" applyNumberFormat="0" applyBorder="0">
      <alignment horizontal="left" vertical="center"/>
    </xf>
    <xf numFmtId="2" fontId="29" fillId="33" borderId="13" applyNumberFormat="0" applyBorder="0">
      <alignment horizontal="left" vertical="center"/>
    </xf>
    <xf numFmtId="2" fontId="26" fillId="27" borderId="22" applyNumberFormat="0" applyBorder="0">
      <alignment horizontal="left" vertical="center"/>
    </xf>
    <xf numFmtId="2" fontId="26" fillId="27" borderId="13" applyNumberFormat="0" applyBorder="0">
      <alignment horizontal="left" vertical="center"/>
    </xf>
    <xf numFmtId="19" fontId="2" fillId="34" borderId="23" applyNumberFormat="0" applyBorder="0">
      <alignment horizontal="left" vertical="center" indent="1"/>
    </xf>
    <xf numFmtId="0" fontId="2" fillId="34" borderId="0">
      <alignment horizontal="right" vertical="center"/>
    </xf>
    <xf numFmtId="19" fontId="2" fillId="34" borderId="19" applyNumberFormat="0" applyBorder="0">
      <alignment horizontal="right" vertical="center"/>
    </xf>
    <xf numFmtId="2" fontId="30" fillId="35" borderId="7" applyBorder="0">
      <alignment horizontal="left" vertical="center" indent="1"/>
    </xf>
    <xf numFmtId="2" fontId="30" fillId="35" borderId="0">
      <alignment horizontal="center" vertical="center"/>
    </xf>
    <xf numFmtId="2" fontId="30" fillId="35" borderId="24">
      <alignment horizontal="left" vertical="center"/>
    </xf>
    <xf numFmtId="0" fontId="31" fillId="36" borderId="17">
      <alignment horizontal="center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70" fontId="32" fillId="37" borderId="0" applyNumberFormat="0" applyBorder="0">
      <alignment horizontal="right" vertical="center"/>
    </xf>
    <xf numFmtId="170" fontId="32" fillId="37" borderId="0" applyNumberFormat="0" applyBorder="0">
      <alignment horizontal="right" vertical="center"/>
    </xf>
    <xf numFmtId="0" fontId="33" fillId="38" borderId="17" applyNumberFormat="0">
      <alignment horizontal="center" vertical="center"/>
    </xf>
    <xf numFmtId="0" fontId="33" fillId="38" borderId="0" applyNumberFormat="0" applyBorder="0">
      <alignment horizontal="left" vertical="center" indent="1"/>
    </xf>
    <xf numFmtId="0" fontId="3" fillId="18" borderId="25" applyNumberFormat="0" applyBorder="0" applyAlignment="0">
      <alignment horizontal="center"/>
    </xf>
    <xf numFmtId="0" fontId="3" fillId="39" borderId="25" applyNumberFormat="0" applyBorder="0" applyAlignment="0">
      <alignment horizontal="center"/>
    </xf>
    <xf numFmtId="0" fontId="3" fillId="40" borderId="2" applyNumberFormat="0" applyBorder="0"/>
    <xf numFmtId="0" fontId="3" fillId="16" borderId="2" applyNumberFormat="0" applyBorder="0"/>
    <xf numFmtId="0" fontId="3" fillId="41" borderId="3" applyNumberFormat="0" applyBorder="0" applyAlignment="0"/>
    <xf numFmtId="0" fontId="3" fillId="42" borderId="3" applyNumberFormat="0" applyBorder="0" applyAlignment="0"/>
    <xf numFmtId="0" fontId="3" fillId="41" borderId="3" applyNumberFormat="0" applyBorder="0" applyAlignment="0"/>
    <xf numFmtId="171" fontId="5" fillId="19" borderId="2" applyNumberFormat="0" applyBorder="0" applyAlignment="0">
      <alignment horizontal="right"/>
    </xf>
    <xf numFmtId="171" fontId="5" fillId="19" borderId="2" applyNumberFormat="0" applyBorder="0" applyAlignment="0">
      <alignment horizontal="right"/>
    </xf>
    <xf numFmtId="178" fontId="3" fillId="43" borderId="4" applyNumberFormat="0" applyBorder="0" applyAlignment="0"/>
    <xf numFmtId="178" fontId="3" fillId="17" borderId="4" applyNumberFormat="0" applyBorder="0" applyAlignment="0"/>
    <xf numFmtId="0" fontId="6" fillId="44" borderId="5" applyNumberFormat="0" applyAlignment="0">
      <alignment horizontal="center" vertical="center"/>
    </xf>
    <xf numFmtId="178" fontId="34" fillId="45" borderId="26" applyNumberFormat="0" applyBorder="0" applyAlignment="0">
      <alignment horizontal="right"/>
    </xf>
    <xf numFmtId="0" fontId="35" fillId="46" borderId="27">
      <alignment horizontal="right"/>
    </xf>
    <xf numFmtId="0" fontId="36" fillId="18" borderId="28"/>
    <xf numFmtId="0" fontId="37" fillId="46" borderId="27"/>
    <xf numFmtId="0" fontId="38" fillId="44" borderId="29">
      <alignment vertical="center"/>
    </xf>
    <xf numFmtId="0" fontId="39" fillId="20" borderId="30">
      <alignment horizontal="right" vertical="center"/>
    </xf>
    <xf numFmtId="179" fontId="40" fillId="47" borderId="0">
      <alignment horizontal="center" vertical="center"/>
    </xf>
    <xf numFmtId="180" fontId="41" fillId="48" borderId="0">
      <alignment horizontal="center" vertical="center"/>
      <protection locked="0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2" fontId="42" fillId="49" borderId="21" applyNumberFormat="0" applyFill="0" applyBorder="0" applyAlignment="0">
      <alignment horizontal="center"/>
      <protection locked="0"/>
    </xf>
    <xf numFmtId="2" fontId="2" fillId="50" borderId="13" applyNumberFormat="0" applyBorder="0">
      <alignment horizontal="right" vertical="center"/>
    </xf>
    <xf numFmtId="2" fontId="2" fillId="50" borderId="0">
      <alignment horizontal="right" vertical="center"/>
    </xf>
    <xf numFmtId="2" fontId="26" fillId="51" borderId="17">
      <alignment horizontal="center" vertical="center"/>
    </xf>
    <xf numFmtId="2" fontId="26" fillId="51" borderId="0" applyNumberFormat="0" applyBorder="0">
      <alignment horizontal="left" vertical="center"/>
    </xf>
    <xf numFmtId="2" fontId="26" fillId="51" borderId="17">
      <alignment horizontal="center" vertical="center"/>
    </xf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38" fontId="43" fillId="0" borderId="0" applyFont="0" applyFill="0" applyBorder="0" applyAlignment="0" applyProtection="0"/>
    <xf numFmtId="0" fontId="43" fillId="0" borderId="0"/>
  </cellStyleXfs>
  <cellXfs count="69">
    <xf numFmtId="0" fontId="0" fillId="0" borderId="0" xfId="0"/>
    <xf numFmtId="10" fontId="0" fillId="0" borderId="0" xfId="0" applyNumberFormat="1"/>
    <xf numFmtId="9" fontId="0" fillId="0" borderId="0" xfId="0" applyNumberFormat="1"/>
    <xf numFmtId="164" fontId="0" fillId="0" borderId="0" xfId="0" applyNumberFormat="1"/>
    <xf numFmtId="165" fontId="0" fillId="0" borderId="0" xfId="0" applyNumberFormat="1"/>
    <xf numFmtId="10" fontId="0" fillId="0" borderId="0" xfId="1" applyNumberFormat="1" applyFont="1"/>
    <xf numFmtId="181" fontId="0" fillId="0" borderId="0" xfId="2" applyNumberFormat="1" applyFont="1"/>
    <xf numFmtId="2" fontId="0" fillId="0" borderId="0" xfId="0" applyNumberFormat="1"/>
    <xf numFmtId="182" fontId="0" fillId="0" borderId="0" xfId="0" applyNumberFormat="1"/>
    <xf numFmtId="183" fontId="44" fillId="0" borderId="0" xfId="0" applyNumberFormat="1" applyFont="1"/>
    <xf numFmtId="183" fontId="0" fillId="0" borderId="0" xfId="0" applyNumberFormat="1"/>
    <xf numFmtId="184" fontId="0" fillId="0" borderId="0" xfId="0" applyNumberFormat="1"/>
    <xf numFmtId="169" fontId="0" fillId="0" borderId="0" xfId="0" applyNumberFormat="1"/>
    <xf numFmtId="185" fontId="0" fillId="0" borderId="0" xfId="2" applyNumberFormat="1" applyFont="1"/>
    <xf numFmtId="181" fontId="44" fillId="0" borderId="0" xfId="2" applyNumberFormat="1" applyFont="1"/>
    <xf numFmtId="185" fontId="0" fillId="0" borderId="0" xfId="1" applyNumberFormat="1" applyFont="1"/>
    <xf numFmtId="43" fontId="0" fillId="0" borderId="0" xfId="0" applyNumberFormat="1"/>
    <xf numFmtId="186" fontId="0" fillId="0" borderId="0" xfId="2" applyNumberFormat="1" applyFont="1" applyBorder="1"/>
    <xf numFmtId="185" fontId="0" fillId="0" borderId="0" xfId="2" applyNumberFormat="1" applyFont="1" applyBorder="1"/>
    <xf numFmtId="0" fontId="0" fillId="0" borderId="15" xfId="0" applyBorder="1"/>
    <xf numFmtId="0" fontId="0" fillId="0" borderId="32" xfId="0" applyBorder="1"/>
    <xf numFmtId="0" fontId="0" fillId="0" borderId="21" xfId="0" applyBorder="1"/>
    <xf numFmtId="0" fontId="0" fillId="0" borderId="33" xfId="0" applyBorder="1"/>
    <xf numFmtId="0" fontId="0" fillId="0" borderId="34" xfId="0" applyBorder="1"/>
    <xf numFmtId="10" fontId="0" fillId="0" borderId="23" xfId="1" applyNumberFormat="1" applyFont="1" applyBorder="1"/>
    <xf numFmtId="10" fontId="0" fillId="0" borderId="37" xfId="1" applyNumberFormat="1" applyFont="1" applyBorder="1"/>
    <xf numFmtId="9" fontId="0" fillId="0" borderId="23" xfId="1" applyFont="1" applyBorder="1"/>
    <xf numFmtId="9" fontId="0" fillId="0" borderId="37" xfId="1" applyFont="1" applyBorder="1"/>
    <xf numFmtId="0" fontId="0" fillId="0" borderId="23" xfId="0" applyBorder="1"/>
    <xf numFmtId="0" fontId="0" fillId="0" borderId="37" xfId="0" applyBorder="1"/>
    <xf numFmtId="9" fontId="0" fillId="0" borderId="0" xfId="1" applyFont="1"/>
    <xf numFmtId="10" fontId="0" fillId="0" borderId="39" xfId="0" applyNumberFormat="1" applyBorder="1"/>
    <xf numFmtId="9" fontId="0" fillId="0" borderId="40" xfId="0" applyNumberFormat="1" applyBorder="1"/>
    <xf numFmtId="0" fontId="0" fillId="0" borderId="40" xfId="0" applyBorder="1"/>
    <xf numFmtId="0" fontId="0" fillId="0" borderId="41" xfId="0" applyBorder="1"/>
    <xf numFmtId="3" fontId="0" fillId="0" borderId="40" xfId="0" applyNumberFormat="1" applyBorder="1"/>
    <xf numFmtId="3" fontId="0" fillId="0" borderId="41" xfId="0" applyNumberFormat="1" applyBorder="1"/>
    <xf numFmtId="170" fontId="0" fillId="0" borderId="0" xfId="1" applyNumberFormat="1" applyFont="1"/>
    <xf numFmtId="0" fontId="0" fillId="0" borderId="42" xfId="0" applyBorder="1"/>
    <xf numFmtId="181" fontId="0" fillId="0" borderId="43" xfId="0" applyNumberFormat="1" applyBorder="1"/>
    <xf numFmtId="0" fontId="0" fillId="0" borderId="44" xfId="0" applyBorder="1"/>
    <xf numFmtId="1" fontId="0" fillId="0" borderId="40" xfId="0" applyNumberFormat="1" applyBorder="1"/>
    <xf numFmtId="10" fontId="0" fillId="0" borderId="46" xfId="1" applyNumberFormat="1" applyFont="1" applyBorder="1"/>
    <xf numFmtId="9" fontId="0" fillId="0" borderId="36" xfId="1" applyFont="1" applyBorder="1"/>
    <xf numFmtId="0" fontId="0" fillId="0" borderId="39" xfId="0" applyBorder="1"/>
    <xf numFmtId="10" fontId="0" fillId="0" borderId="47" xfId="1" applyNumberFormat="1" applyFont="1" applyBorder="1"/>
    <xf numFmtId="10" fontId="0" fillId="0" borderId="48" xfId="1" applyNumberFormat="1" applyFont="1" applyBorder="1"/>
    <xf numFmtId="1" fontId="0" fillId="0" borderId="0" xfId="0" applyNumberFormat="1"/>
    <xf numFmtId="1" fontId="0" fillId="0" borderId="34" xfId="0" applyNumberFormat="1" applyBorder="1"/>
    <xf numFmtId="3" fontId="0" fillId="0" borderId="22" xfId="0" applyNumberFormat="1" applyBorder="1"/>
    <xf numFmtId="181" fontId="45" fillId="0" borderId="45" xfId="0" applyNumberFormat="1" applyFont="1" applyBorder="1"/>
    <xf numFmtId="10" fontId="0" fillId="0" borderId="0" xfId="1" applyNumberFormat="1" applyFont="1" applyFill="1" applyBorder="1"/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1" xfId="0" applyBorder="1" applyAlignment="1">
      <alignment horizontal="center"/>
    </xf>
    <xf numFmtId="187" fontId="0" fillId="0" borderId="19" xfId="0" applyNumberFormat="1" applyBorder="1"/>
    <xf numFmtId="187" fontId="0" fillId="0" borderId="35" xfId="0" applyNumberFormat="1" applyBorder="1"/>
    <xf numFmtId="187" fontId="0" fillId="0" borderId="17" xfId="0" applyNumberFormat="1" applyBorder="1"/>
    <xf numFmtId="3" fontId="0" fillId="0" borderId="23" xfId="0" applyNumberFormat="1" applyBorder="1"/>
    <xf numFmtId="3" fontId="0" fillId="0" borderId="37" xfId="0" applyNumberFormat="1" applyBorder="1"/>
    <xf numFmtId="0" fontId="0" fillId="0" borderId="0" xfId="0" applyAlignment="1">
      <alignment horizontal="center"/>
    </xf>
    <xf numFmtId="9" fontId="44" fillId="0" borderId="22" xfId="0" applyNumberFormat="1" applyFont="1" applyBorder="1" applyAlignment="1">
      <alignment horizontal="center"/>
    </xf>
    <xf numFmtId="9" fontId="44" fillId="0" borderId="38" xfId="0" applyNumberFormat="1" applyFont="1" applyBorder="1" applyAlignment="1">
      <alignment horizontal="center"/>
    </xf>
    <xf numFmtId="0" fontId="44" fillId="0" borderId="22" xfId="0" applyFont="1" applyBorder="1" applyAlignment="1">
      <alignment horizontal="center"/>
    </xf>
    <xf numFmtId="0" fontId="44" fillId="0" borderId="38" xfId="0" applyFont="1" applyBorder="1" applyAlignment="1">
      <alignment horizontal="center"/>
    </xf>
    <xf numFmtId="0" fontId="44" fillId="0" borderId="15" xfId="0" applyFont="1" applyBorder="1" applyAlignment="1">
      <alignment horizontal="center"/>
    </xf>
    <xf numFmtId="0" fontId="44" fillId="0" borderId="32" xfId="0" applyFont="1" applyBorder="1" applyAlignment="1">
      <alignment horizontal="center"/>
    </xf>
    <xf numFmtId="0" fontId="44" fillId="0" borderId="12" xfId="0" applyFont="1" applyBorder="1" applyAlignment="1">
      <alignment horizontal="center"/>
    </xf>
  </cellXfs>
  <cellStyles count="961">
    <cellStyle name="$" xfId="11" xr:uid="{3CE8790F-BA25-4554-83CD-EE121BD67DDA}"/>
    <cellStyle name="$ &amp; ¢" xfId="12" xr:uid="{4D5E41E1-A4B1-4152-8C97-633A9346FFA9}"/>
    <cellStyle name="%" xfId="13" xr:uid="{014FA260-8058-4D85-824E-BCF3A9E3C947}"/>
    <cellStyle name="%.00" xfId="14" xr:uid="{799BC619-72F4-4A52-AAA1-52DC081E847F}"/>
    <cellStyle name="?? [0.00]_PLDT" xfId="15" xr:uid="{76AFF397-E5FA-4767-BD67-10ECC3F0E46E}"/>
    <cellStyle name="???? [0.00]_PLDT" xfId="16" xr:uid="{33805939-2471-4C28-B084-12F138829CB6}"/>
    <cellStyle name="????_PLDT" xfId="17" xr:uid="{97F1EA54-DEBE-410E-9413-1BD2A061CF1F}"/>
    <cellStyle name="??_10-08" xfId="18" xr:uid="{079798D3-5A61-4E88-A3C7-E6070BED7307}"/>
    <cellStyle name="_Copy of Portfolios to Archeus 6-3-04 (2)" xfId="19" xr:uid="{C4430732-76A4-4522-89C8-E9D11FAC5AEC}"/>
    <cellStyle name="_Copy of Portfolios to Archeus 6-3-04 (2) 10" xfId="20" xr:uid="{A23D9001-1A86-4456-84F4-6502C2A12668}"/>
    <cellStyle name="_Copy of Portfolios to Archeus 6-3-04 (2) 10 10" xfId="21" xr:uid="{4A501FFE-A4BC-4B8C-B2B8-A4D286882C08}"/>
    <cellStyle name="_Copy of Portfolios to Archeus 6-3-04 (2) 10 11" xfId="22" xr:uid="{C3F28CB4-5C97-470C-862A-32AF169CD9B3}"/>
    <cellStyle name="_Copy of Portfolios to Archeus 6-3-04 (2) 10 12" xfId="23" xr:uid="{21FE56C2-266B-493D-ADB6-B629FCBBB435}"/>
    <cellStyle name="_Copy of Portfolios to Archeus 6-3-04 (2) 10 13" xfId="24" xr:uid="{85B70B35-5115-48E4-B597-A33D699F9FB3}"/>
    <cellStyle name="_Copy of Portfolios to Archeus 6-3-04 (2) 10 14" xfId="25" xr:uid="{465CF4ED-7B45-40EB-B721-611C090E95DF}"/>
    <cellStyle name="_Copy of Portfolios to Archeus 6-3-04 (2) 10 15" xfId="26" xr:uid="{58CAB82D-AD5B-4E70-AD10-1BA9089B58D6}"/>
    <cellStyle name="_Copy of Portfolios to Archeus 6-3-04 (2) 10 16" xfId="27" xr:uid="{10C9581A-840B-40FB-8069-0F804023D3BA}"/>
    <cellStyle name="_Copy of Portfolios to Archeus 6-3-04 (2) 10 17" xfId="28" xr:uid="{AB841326-8293-4BF1-884B-3F8BD75F30D1}"/>
    <cellStyle name="_Copy of Portfolios to Archeus 6-3-04 (2) 10 18" xfId="29" xr:uid="{847DAD7D-EC80-4A98-B3D4-95F9C3E2DDE1}"/>
    <cellStyle name="_Copy of Portfolios to Archeus 6-3-04 (2) 10 19" xfId="30" xr:uid="{B7E54334-FCB9-40F4-9375-EDE0E5C90ECB}"/>
    <cellStyle name="_Copy of Portfolios to Archeus 6-3-04 (2) 10 2" xfId="31" xr:uid="{30A46E59-6B28-4877-A40F-8A727F766B7E}"/>
    <cellStyle name="_Copy of Portfolios to Archeus 6-3-04 (2) 10 20" xfId="32" xr:uid="{F3A0676F-3102-43B0-8384-2B4542A04E34}"/>
    <cellStyle name="_Copy of Portfolios to Archeus 6-3-04 (2) 10 21" xfId="33" xr:uid="{E0CF1036-7048-4182-9B44-DF0400027B40}"/>
    <cellStyle name="_Copy of Portfolios to Archeus 6-3-04 (2) 10 22" xfId="34" xr:uid="{6CD7C153-8303-4332-9635-02865F62EEDA}"/>
    <cellStyle name="_Copy of Portfolios to Archeus 6-3-04 (2) 10 23" xfId="35" xr:uid="{8152F1DA-8983-44F3-AADC-FDCAA716D044}"/>
    <cellStyle name="_Copy of Portfolios to Archeus 6-3-04 (2) 10 24" xfId="36" xr:uid="{9238F5CD-5D58-4226-9A48-11992B6EF674}"/>
    <cellStyle name="_Copy of Portfolios to Archeus 6-3-04 (2) 10 25" xfId="37" xr:uid="{07E8F376-9EC9-4DD3-8799-FE583FACD97D}"/>
    <cellStyle name="_Copy of Portfolios to Archeus 6-3-04 (2) 10 26" xfId="38" xr:uid="{29ED0056-2052-4CF3-BAFD-2D5A4920E81E}"/>
    <cellStyle name="_Copy of Portfolios to Archeus 6-3-04 (2) 10 3" xfId="39" xr:uid="{83DED408-76C9-4182-8C0F-88F3BDBCE95A}"/>
    <cellStyle name="_Copy of Portfolios to Archeus 6-3-04 (2) 10 4" xfId="40" xr:uid="{21AEAEFE-DBEC-45C2-AB76-573D2C93E92A}"/>
    <cellStyle name="_Copy of Portfolios to Archeus 6-3-04 (2) 10 5" xfId="41" xr:uid="{A1371957-3240-41BA-BC7B-61F40A0D99A9}"/>
    <cellStyle name="_Copy of Portfolios to Archeus 6-3-04 (2) 10 6" xfId="42" xr:uid="{08582DFE-CB87-46CF-9576-D0FF90AA697A}"/>
    <cellStyle name="_Copy of Portfolios to Archeus 6-3-04 (2) 10 7" xfId="43" xr:uid="{4229D43E-90F3-45E4-A3DC-7C19CF65932A}"/>
    <cellStyle name="_Copy of Portfolios to Archeus 6-3-04 (2) 10 8" xfId="44" xr:uid="{C4088116-1EA6-49D4-918B-50F515D7EA21}"/>
    <cellStyle name="_Copy of Portfolios to Archeus 6-3-04 (2) 10 9" xfId="45" xr:uid="{4581F300-AF48-418F-8838-49514522BC93}"/>
    <cellStyle name="_Copy of Portfolios to Archeus 6-3-04 (2) 11" xfId="46" xr:uid="{36828F4F-B60E-4743-8042-C45C78DA86D7}"/>
    <cellStyle name="_Copy of Portfolios to Archeus 6-3-04 (2) 11 2" xfId="47" xr:uid="{A676EA74-87E8-4831-A980-24F834E430B1}"/>
    <cellStyle name="_Copy of Portfolios to Archeus 6-3-04 (2) 11 3" xfId="48" xr:uid="{6FABB5DA-52F7-4574-BD85-1098F180F986}"/>
    <cellStyle name="_Copy of Portfolios to Archeus 6-3-04 (2) 11 4" xfId="49" xr:uid="{D0D2C777-6E16-4766-85FF-AC4246DFBE85}"/>
    <cellStyle name="_Copy of Portfolios to Archeus 6-3-04 (2) 11 5" xfId="50" xr:uid="{0B3C11E7-3301-4DA2-8491-81D23EA425DA}"/>
    <cellStyle name="_Copy of Portfolios to Archeus 6-3-04 (2) 11 6" xfId="51" xr:uid="{5097807D-7502-4669-8FC8-89BBEBAB978C}"/>
    <cellStyle name="_Copy of Portfolios to Archeus 6-3-04 (2) 11 7" xfId="52" xr:uid="{3222C657-D5B9-45C9-BEDE-F07AAA410092}"/>
    <cellStyle name="_Copy of Portfolios to Archeus 6-3-04 (2) 12" xfId="53" xr:uid="{0D13FAB9-EB6D-4A14-A6F4-5959ACF59AB6}"/>
    <cellStyle name="_Copy of Portfolios to Archeus 6-3-04 (2) 12 2" xfId="54" xr:uid="{4324AF23-A2EE-4C20-A8A1-FCE2E0668152}"/>
    <cellStyle name="_Copy of Portfolios to Archeus 6-3-04 (2) 12 2 2" xfId="55" xr:uid="{183DB836-9550-4C29-B4A7-E91093E174A6}"/>
    <cellStyle name="_Copy of Portfolios to Archeus 6-3-04 (2) 12 3" xfId="56" xr:uid="{A7222720-B17D-4A2C-BE88-4583C466D6A2}"/>
    <cellStyle name="_Copy of Portfolios to Archeus 6-3-04 (2) 12 3 2" xfId="57" xr:uid="{33AF8F6D-9416-4C1A-AF77-972721ED47EA}"/>
    <cellStyle name="_Copy of Portfolios to Archeus 6-3-04 (2) 12 4" xfId="58" xr:uid="{CB9023B1-DADF-4977-97FB-48EE8A9A45C6}"/>
    <cellStyle name="_Copy of Portfolios to Archeus 6-3-04 (2) 13" xfId="59" xr:uid="{413AAD11-0D75-4E63-AC53-8D8FC58A7EB9}"/>
    <cellStyle name="_Copy of Portfolios to Archeus 6-3-04 (2) 13 2" xfId="60" xr:uid="{4E31007D-9FAB-4E03-B6FD-5E9D08BA9910}"/>
    <cellStyle name="_Copy of Portfolios to Archeus 6-3-04 (2) 14" xfId="61" xr:uid="{2CAB37D8-5FD1-4D7B-B79C-12FFA0A621A2}"/>
    <cellStyle name="_Copy of Portfolios to Archeus 6-3-04 (2) 14 2" xfId="62" xr:uid="{376C4CD8-851B-4AF1-AF84-6C5D42DB5814}"/>
    <cellStyle name="_Copy of Portfolios to Archeus 6-3-04 (2) 15" xfId="63" xr:uid="{18642598-33A6-47CD-B179-6243A038833D}"/>
    <cellStyle name="_Copy of Portfolios to Archeus 6-3-04 (2) 15 2" xfId="64" xr:uid="{FE1DEDE7-C811-41FA-9697-4F0AF447FB3F}"/>
    <cellStyle name="_Copy of Portfolios to Archeus 6-3-04 (2) 16" xfId="65" xr:uid="{BF410B00-EF01-4ADF-98BF-A35C8B3E6114}"/>
    <cellStyle name="_Copy of Portfolios to Archeus 6-3-04 (2) 16 2" xfId="66" xr:uid="{D6752A52-5ED1-42A9-8F5F-6F0C0991B591}"/>
    <cellStyle name="_Copy of Portfolios to Archeus 6-3-04 (2) 17" xfId="67" xr:uid="{A9D18A7E-8FA4-4528-BE94-71DCCD710885}"/>
    <cellStyle name="_Copy of Portfolios to Archeus 6-3-04 (2) 17 2" xfId="68" xr:uid="{3479B2F7-B162-4C77-927F-8B8C6DD8DAA5}"/>
    <cellStyle name="_Copy of Portfolios to Archeus 6-3-04 (2) 18" xfId="69" xr:uid="{27FE58F0-C0AD-43D7-833A-1207E8A56A6E}"/>
    <cellStyle name="_Copy of Portfolios to Archeus 6-3-04 (2) 19" xfId="70" xr:uid="{A8043B5D-AC54-4245-8BDF-B975E1993924}"/>
    <cellStyle name="_Copy of Portfolios to Archeus 6-3-04 (2) 2" xfId="71" xr:uid="{CCD55CFA-4CF1-43BE-B7D3-DC1AF430F3F7}"/>
    <cellStyle name="_Copy of Portfolios to Archeus 6-3-04 (2) 2 2" xfId="72" xr:uid="{A00E9480-706C-46E3-8D67-762D30EC72E5}"/>
    <cellStyle name="_Copy of Portfolios to Archeus 6-3-04 (2) 2 2 2" xfId="73" xr:uid="{66302B8B-36E5-4DF5-B8EA-AE895A82A956}"/>
    <cellStyle name="_Copy of Portfolios to Archeus 6-3-04 (2) 2 3" xfId="74" xr:uid="{4BFF3A21-D56E-479C-9938-B6B85F848714}"/>
    <cellStyle name="_Copy of Portfolios to Archeus 6-3-04 (2) 2 3 2" xfId="75" xr:uid="{51E02DB3-0B58-44DF-8D2F-35FDE851F319}"/>
    <cellStyle name="_Copy of Portfolios to Archeus 6-3-04 (2) 2 4" xfId="76" xr:uid="{63B35D2E-D1A7-4341-9D61-3D5AD99F3BCF}"/>
    <cellStyle name="_Copy of Portfolios to Archeus 6-3-04 (2) 2 4 2" xfId="77" xr:uid="{4066979D-A224-48C0-99DF-F4463C8F6651}"/>
    <cellStyle name="_Copy of Portfolios to Archeus 6-3-04 (2) 2 5" xfId="78" xr:uid="{D42B062E-D7B2-4B2A-96AA-9E925FF6F8DA}"/>
    <cellStyle name="_Copy of Portfolios to Archeus 6-3-04 (2) 2 5 2" xfId="79" xr:uid="{26A0B884-B59D-4082-A5D7-0578E7402293}"/>
    <cellStyle name="_Copy of Portfolios to Archeus 6-3-04 (2) 2 6" xfId="80" xr:uid="{AE00464A-ADE9-4188-926F-2AFE5B9250DC}"/>
    <cellStyle name="_Copy of Portfolios to Archeus 6-3-04 (2) 2 6 2" xfId="81" xr:uid="{E233BA27-00E8-493D-85D9-B3B3E8417F96}"/>
    <cellStyle name="_Copy of Portfolios to Archeus 6-3-04 (2) 2 7" xfId="82" xr:uid="{19BE49A0-8371-485D-B42C-6B3BC3C256BB}"/>
    <cellStyle name="_Copy of Portfolios to Archeus 6-3-04 (2) 2_CDO Pricer (Bespoke Pricing using Base Correlations)" xfId="83" xr:uid="{6B90B6CA-17CE-410B-94DA-20F244AC3B5C}"/>
    <cellStyle name="_Copy of Portfolios to Archeus 6-3-04 (2) 2_CDO Pricer (Bespoke Pricing using Base Correlations) 2" xfId="84" xr:uid="{771FA2E5-5800-46E3-96C4-AFFBA5549082}"/>
    <cellStyle name="_Copy of Portfolios to Archeus 6-3-04 (2) 20" xfId="85" xr:uid="{26AD0851-E24C-4E66-B094-F5ADCD6E99B1}"/>
    <cellStyle name="_Copy of Portfolios to Archeus 6-3-04 (2) 21" xfId="86" xr:uid="{DBA0F89B-7B74-455B-9D38-B1B6C10D998B}"/>
    <cellStyle name="_Copy of Portfolios to Archeus 6-3-04 (2) 22" xfId="87" xr:uid="{8B3FC314-75BA-4C62-B44D-36045574ABED}"/>
    <cellStyle name="_Copy of Portfolios to Archeus 6-3-04 (2) 23" xfId="88" xr:uid="{264419E0-D58B-4409-9853-B103BB5C3A32}"/>
    <cellStyle name="_Copy of Portfolios to Archeus 6-3-04 (2) 24" xfId="89" xr:uid="{D036BE16-9A9A-4F26-8B5F-E0CC76A47180}"/>
    <cellStyle name="_Copy of Portfolios to Archeus 6-3-04 (2) 25" xfId="90" xr:uid="{DC85E03F-A8F6-46A7-A508-A561B45F2097}"/>
    <cellStyle name="_Copy of Portfolios to Archeus 6-3-04 (2) 26" xfId="91" xr:uid="{12487433-9058-4D3E-9BDD-D14E4FE2E79F}"/>
    <cellStyle name="_Copy of Portfolios to Archeus 6-3-04 (2) 27" xfId="92" xr:uid="{DAA02ADB-F88D-400C-993E-A0D674D7A35F}"/>
    <cellStyle name="_Copy of Portfolios to Archeus 6-3-04 (2) 28" xfId="93" xr:uid="{A0A67009-AF03-4F36-8006-607D2B2665AB}"/>
    <cellStyle name="_Copy of Portfolios to Archeus 6-3-04 (2) 29" xfId="94" xr:uid="{388E08CF-D0FD-4989-B3E2-22AD9A15B373}"/>
    <cellStyle name="_Copy of Portfolios to Archeus 6-3-04 (2) 3" xfId="95" xr:uid="{84B7A808-C09E-4241-B346-962FA413272F}"/>
    <cellStyle name="_Copy of Portfolios to Archeus 6-3-04 (2) 3 2" xfId="96" xr:uid="{D819AECD-61F1-4426-8378-E606AC415F9C}"/>
    <cellStyle name="_Copy of Portfolios to Archeus 6-3-04 (2) 30" xfId="97" xr:uid="{7C36178D-ADD6-4753-8EE1-5F0DAFFE5A85}"/>
    <cellStyle name="_Copy of Portfolios to Archeus 6-3-04 (2) 31" xfId="98" xr:uid="{9E2F387B-E770-4065-8DFB-E7B531EA0FBD}"/>
    <cellStyle name="_Copy of Portfolios to Archeus 6-3-04 (2) 31 2" xfId="99" xr:uid="{513384E2-D6AD-4F03-8EBB-24F74EE54062}"/>
    <cellStyle name="_Copy of Portfolios to Archeus 6-3-04 (2) 31 3" xfId="100" xr:uid="{1C5E58E1-6B2D-4FD1-B780-3B21C5F431F9}"/>
    <cellStyle name="_Copy of Portfolios to Archeus 6-3-04 (2) 31 4" xfId="101" xr:uid="{961BA076-3CBB-4094-B294-1EEB21ECB2E8}"/>
    <cellStyle name="_Copy of Portfolios to Archeus 6-3-04 (2) 32" xfId="102" xr:uid="{A441B7C7-B244-4F29-84B7-A8623CAC70B9}"/>
    <cellStyle name="_Copy of Portfolios to Archeus 6-3-04 (2) 32 2" xfId="103" xr:uid="{092BE0AA-A959-44F1-B8F9-78FC079C25B1}"/>
    <cellStyle name="_Copy of Portfolios to Archeus 6-3-04 (2) 32 3" xfId="104" xr:uid="{59165697-F6F2-4C57-B2D8-E25C366C53D8}"/>
    <cellStyle name="_Copy of Portfolios to Archeus 6-3-04 (2) 32 4" xfId="105" xr:uid="{CA677D13-CA50-48F0-8E44-C2B982B83D35}"/>
    <cellStyle name="_Copy of Portfolios to Archeus 6-3-04 (2) 33" xfId="106" xr:uid="{A9DC4199-D33F-478F-BC1E-4D879B56D1AF}"/>
    <cellStyle name="_Copy of Portfolios to Archeus 6-3-04 (2) 33 2" xfId="107" xr:uid="{1B1EE278-C2E9-4568-8CA6-7317AF94D327}"/>
    <cellStyle name="_Copy of Portfolios to Archeus 6-3-04 (2) 33 3" xfId="108" xr:uid="{E13CC098-0403-43A7-9C8E-9EC7F4D1E945}"/>
    <cellStyle name="_Copy of Portfolios to Archeus 6-3-04 (2) 34" xfId="109" xr:uid="{94098850-5133-4679-9F44-A53A2D5923EF}"/>
    <cellStyle name="_Copy of Portfolios to Archeus 6-3-04 (2) 34 2" xfId="110" xr:uid="{CF6CD840-11F3-4220-A9A8-3702CC6FB10F}"/>
    <cellStyle name="_Copy of Portfolios to Archeus 6-3-04 (2) 35" xfId="111" xr:uid="{212E99D8-6AF5-40AA-9E48-B41A37C3A7DA}"/>
    <cellStyle name="_Copy of Portfolios to Archeus 6-3-04 (2) 35 2" xfId="112" xr:uid="{633C221C-E0F4-4F96-84DC-10196BB8C222}"/>
    <cellStyle name="_Copy of Portfolios to Archeus 6-3-04 (2) 36" xfId="113" xr:uid="{B38FA38E-7FD5-442C-AE74-5C881582EA1E}"/>
    <cellStyle name="_Copy of Portfolios to Archeus 6-3-04 (2) 36 2" xfId="114" xr:uid="{D0E5CC48-69DF-4763-9223-847BD9CF9EA1}"/>
    <cellStyle name="_Copy of Portfolios to Archeus 6-3-04 (2) 37" xfId="115" xr:uid="{1F2A10DF-6168-4E94-81A8-7C2C090894C1}"/>
    <cellStyle name="_Copy of Portfolios to Archeus 6-3-04 (2) 38" xfId="116" xr:uid="{5489042E-63CE-4CD0-99EE-084B00B7DC73}"/>
    <cellStyle name="_Copy of Portfolios to Archeus 6-3-04 (2) 39" xfId="117" xr:uid="{DB28203A-D3CF-4987-867B-9DE886209288}"/>
    <cellStyle name="_Copy of Portfolios to Archeus 6-3-04 (2) 4" xfId="118" xr:uid="{973E153A-96D8-4EE0-A6C8-A57412C0C5DD}"/>
    <cellStyle name="_Copy of Portfolios to Archeus 6-3-04 (2) 4 2" xfId="119" xr:uid="{D991A256-009E-4D3D-B62D-A928969788CF}"/>
    <cellStyle name="_Copy of Portfolios to Archeus 6-3-04 (2) 4 2 2" xfId="120" xr:uid="{151BA2F4-B38A-439D-A6A1-129F1D66F6D7}"/>
    <cellStyle name="_Copy of Portfolios to Archeus 6-3-04 (2) 4 3" xfId="121" xr:uid="{C98715A4-8F42-4B6A-90EE-EEC9C222C577}"/>
    <cellStyle name="_Copy of Portfolios to Archeus 6-3-04 (2) 4_CDO Pricer (Bespoke Pricing using Base Correlations)" xfId="122" xr:uid="{1F0E6ED4-AE8C-42D5-BB0D-19C93B9C2DCD}"/>
    <cellStyle name="_Copy of Portfolios to Archeus 6-3-04 (2) 4_CDO Pricer (Bespoke Pricing using Base Correlations) 2" xfId="123" xr:uid="{4CF2AEEC-2DE2-47E8-9759-FDD36091E2A4}"/>
    <cellStyle name="_Copy of Portfolios to Archeus 6-3-04 (2) 4_CDO Pricer (Bespoke Pricing using Base Correlations) 2 2" xfId="124" xr:uid="{F073F36B-BD8A-4DE0-BA21-B003EBA82728}"/>
    <cellStyle name="_Copy of Portfolios to Archeus 6-3-04 (2) 4_CDO Pricer (Bespoke Pricing using Base Correlations) 3" xfId="125" xr:uid="{CF4FFB9C-E533-4448-8506-FFC385B948E7}"/>
    <cellStyle name="_Copy of Portfolios to Archeus 6-3-04 (2) 40" xfId="126" xr:uid="{8469A425-7880-44DC-9FB2-2E99AE55BE56}"/>
    <cellStyle name="_Copy of Portfolios to Archeus 6-3-04 (2) 41" xfId="127" xr:uid="{35D549E4-2BF3-4342-9772-331C219E6EA8}"/>
    <cellStyle name="_Copy of Portfolios to Archeus 6-3-04 (2) 42" xfId="128" xr:uid="{ECE62C9B-42FB-4D85-9F1D-69B71A39C044}"/>
    <cellStyle name="_Copy of Portfolios to Archeus 6-3-04 (2) 43" xfId="129" xr:uid="{1763951B-4002-4FE4-811E-6D651FEDA77A}"/>
    <cellStyle name="_Copy of Portfolios to Archeus 6-3-04 (2) 43 2" xfId="130" xr:uid="{4BEF90D6-1BCB-4FA2-9802-3FEEC9D50591}"/>
    <cellStyle name="_Copy of Portfolios to Archeus 6-3-04 (2) 44" xfId="131" xr:uid="{FDDB85C0-0A71-4579-BF4B-3AEE0C76D9F8}"/>
    <cellStyle name="_Copy of Portfolios to Archeus 6-3-04 (2) 45" xfId="132" xr:uid="{C2958D6B-823F-46B3-9B3A-F387C44D5C54}"/>
    <cellStyle name="_Copy of Portfolios to Archeus 6-3-04 (2) 46" xfId="133" xr:uid="{DCD5A1E0-2EA2-42A3-A04B-96836F7055BA}"/>
    <cellStyle name="_Copy of Portfolios to Archeus 6-3-04 (2) 5" xfId="134" xr:uid="{EC79F6E3-44D8-446C-91EC-7F549E35202D}"/>
    <cellStyle name="_Copy of Portfolios to Archeus 6-3-04 (2) 5 2" xfId="135" xr:uid="{860A91B9-03DB-47C9-916B-01350FEB0471}"/>
    <cellStyle name="_Copy of Portfolios to Archeus 6-3-04 (2) 6" xfId="136" xr:uid="{F5BDCCA2-AD1C-4708-A947-3533810BC157}"/>
    <cellStyle name="_Copy of Portfolios to Archeus 6-3-04 (2) 6 2" xfId="137" xr:uid="{96398E0E-E64C-41A7-BA72-91E341721C8A}"/>
    <cellStyle name="_Copy of Portfolios to Archeus 6-3-04 (2) 7" xfId="138" xr:uid="{3A7CBF52-7701-4960-93F5-94ACD137BD82}"/>
    <cellStyle name="_Copy of Portfolios to Archeus 6-3-04 (2) 7 2" xfId="139" xr:uid="{259618A9-47B6-416B-A61E-AB842801DABE}"/>
    <cellStyle name="_Copy of Portfolios to Archeus 6-3-04 (2) 8" xfId="140" xr:uid="{FA2E672C-5EA2-420B-910A-4A05CE97F99F}"/>
    <cellStyle name="_Copy of Portfolios to Archeus 6-3-04 (2) 8 2" xfId="141" xr:uid="{30EF4A76-02F5-4130-97CA-91F508EDD2B3}"/>
    <cellStyle name="_Copy of Portfolios to Archeus 6-3-04 (2) 9" xfId="142" xr:uid="{B377A4A4-0DBD-48A0-AF34-C521CF882D06}"/>
    <cellStyle name="_Copy of Portfolios to Archeus 6-3-04 (2) 9 2" xfId="143" xr:uid="{E5FCE113-E8B1-4142-9B29-E44A6A43EEFD}"/>
    <cellStyle name="_Copy of Portfolios to Archeus 6-3-04 (2) 9 2 2" xfId="144" xr:uid="{99E4C60B-5E09-4375-B039-5C2937256B55}"/>
    <cellStyle name="_Copy of Portfolios to Archeus 6-3-04 (2) 9 3" xfId="145" xr:uid="{BD877053-2F74-47D4-98E9-0E2C16087D28}"/>
    <cellStyle name="_Copy of Portfolios to Archeus 6-3-04 (2) 9 3 2" xfId="146" xr:uid="{1062F4CA-6744-4BE3-8E8B-FA5024D5B189}"/>
    <cellStyle name="_Copy of Portfolios to Archeus 6-3-04 (2) 9 4" xfId="147" xr:uid="{52BD132E-6B86-4506-8319-11DDD7486AA3}"/>
    <cellStyle name="_Copy of Portfolios to Archeus 6-3-04 (2) 9 4 2" xfId="148" xr:uid="{EE0CAC44-F231-4947-8770-6E89AD932AA7}"/>
    <cellStyle name="_Copy of Portfolios to Archeus 6-3-04 (2) 9 5" xfId="149" xr:uid="{8FEED999-E7FF-4A3F-B064-3472F5EBF48B}"/>
    <cellStyle name="20% - Accent1 2" xfId="150" xr:uid="{44985457-0CEF-4D47-874C-273B7D0A6B8F}"/>
    <cellStyle name="20% - Accent1 2 2" xfId="151" xr:uid="{F2C7E4E0-6AE4-4EB1-B038-B5754C0556CF}"/>
    <cellStyle name="20% - Accent1 3" xfId="152" xr:uid="{661F823C-7560-4299-99FA-4E17DB4CE4A5}"/>
    <cellStyle name="20% - Accent2 2" xfId="153" xr:uid="{7148D98D-218F-4519-80FC-851046EE6CFD}"/>
    <cellStyle name="20% - Accent2 2 2" xfId="154" xr:uid="{2AEBCB39-DB4E-41BF-B97C-11DFE031F038}"/>
    <cellStyle name="20% - Accent2 3" xfId="155" xr:uid="{F1FAC4EB-B3FA-4133-83A8-76EF19549FAF}"/>
    <cellStyle name="20% - Accent3 2" xfId="156" xr:uid="{ED1C7702-D552-4EF3-8AAD-50D5347BFB59}"/>
    <cellStyle name="20% - Accent3 2 2" xfId="157" xr:uid="{94BCDC2B-2D01-4050-8894-1ED096845A21}"/>
    <cellStyle name="20% - Accent3 3" xfId="158" xr:uid="{DB473B84-33B6-4804-BF49-CC2587666480}"/>
    <cellStyle name="20% - Accent4 2" xfId="159" xr:uid="{41CF0907-EBC0-4A3F-A06F-1BA6D84A39CA}"/>
    <cellStyle name="20% - Accent4 2 2" xfId="160" xr:uid="{5B6006B5-1E2A-47CF-9686-3FC01F4B6D9F}"/>
    <cellStyle name="20% - Accent4 3" xfId="161" xr:uid="{2A7BE65C-DFE7-42DC-9BED-24D06C6237A4}"/>
    <cellStyle name="20% - Accent5 2" xfId="162" xr:uid="{C087F433-E75C-4AF8-9F57-C722FF26702F}"/>
    <cellStyle name="20% - Accent5 2 2" xfId="163" xr:uid="{6FF5DAD8-5EE3-4DCB-B111-735B12B4F6FB}"/>
    <cellStyle name="20% - Accent5 3" xfId="164" xr:uid="{E4B0E8A5-29B8-473E-8F81-9700A92D66DC}"/>
    <cellStyle name="20% - Accent6 2" xfId="165" xr:uid="{DF93C90F-BCAB-4093-977F-E079110426DD}"/>
    <cellStyle name="20% - Accent6 2 2" xfId="166" xr:uid="{54CEDA56-E63D-474C-9552-8E3CC39A4B3E}"/>
    <cellStyle name="20% - Accent6 3" xfId="167" xr:uid="{E91C80B2-D95A-44CB-90AC-CA97FF4EE2AF}"/>
    <cellStyle name="40% - Accent1 2" xfId="168" xr:uid="{42ABD7F1-B8F8-4315-A4BE-9E7FBCA2BAE1}"/>
    <cellStyle name="40% - Accent1 2 2" xfId="169" xr:uid="{BBC684C5-1E3D-4CDC-A5EB-9120EF6D55E9}"/>
    <cellStyle name="40% - Accent1 3" xfId="170" xr:uid="{23E391E5-0118-4A3E-B13C-E8911BB3B477}"/>
    <cellStyle name="40% - Accent2 2" xfId="171" xr:uid="{9BB949B8-6395-48B8-8BF4-1B6BFC2856D5}"/>
    <cellStyle name="40% - Accent2 2 2" xfId="172" xr:uid="{DD025136-B77D-4FB4-91C8-FE4C04C2BA35}"/>
    <cellStyle name="40% - Accent2 3" xfId="173" xr:uid="{3E7D57B0-EF76-4C52-AD95-30C066D65CA9}"/>
    <cellStyle name="40% - Accent3 2" xfId="174" xr:uid="{2EBEBB82-A7A1-4982-A3CC-6679272653ED}"/>
    <cellStyle name="40% - Accent3 2 2" xfId="175" xr:uid="{29757AB5-B439-4E04-9C88-CB841B483855}"/>
    <cellStyle name="40% - Accent3 3" xfId="176" xr:uid="{BC7D88D2-0285-4AE2-BCFF-F0AA98948B68}"/>
    <cellStyle name="40% - Accent4 2" xfId="177" xr:uid="{8CB63480-8240-483F-ABA0-475031854DF4}"/>
    <cellStyle name="40% - Accent4 2 2" xfId="178" xr:uid="{5077D94C-DB7A-4791-9990-F38E003845ED}"/>
    <cellStyle name="40% - Accent4 3" xfId="179" xr:uid="{136570C2-36BA-4B16-AE50-82129F97C16B}"/>
    <cellStyle name="40% - Accent5 2" xfId="180" xr:uid="{25FB3B53-8D51-4020-A7C9-C3F21F97580E}"/>
    <cellStyle name="40% - Accent5 2 2" xfId="181" xr:uid="{1D8438AF-BC8B-43F6-B191-A651BE0F1A77}"/>
    <cellStyle name="40% - Accent5 3" xfId="182" xr:uid="{42F5DC9D-34A0-450A-8634-5547AB33DB44}"/>
    <cellStyle name="40% - Accent6 2" xfId="183" xr:uid="{E6D6B878-AB12-4A19-94BA-614BAC989AC6}"/>
    <cellStyle name="40% - Accent6 2 2" xfId="184" xr:uid="{16755E3B-D41C-42FE-BD65-25C32B7D4B21}"/>
    <cellStyle name="40% - Accent6 3" xfId="185" xr:uid="{610E1CFB-AAB2-40AB-8F89-BEA26354FC06}"/>
    <cellStyle name="adam" xfId="186" xr:uid="{215B383E-8140-4FF0-B0C8-0F971B8C51EE}"/>
    <cellStyle name="back" xfId="187" xr:uid="{55B9D455-234F-48C4-B782-A279D063ED31}"/>
    <cellStyle name="blp_column_header" xfId="188" xr:uid="{93923ADD-52C8-4924-B987-AB59A093C206}"/>
    <cellStyle name="Body" xfId="189" xr:uid="{F8457BCD-23DA-41B0-BB93-7DA3E0D65E94}"/>
    <cellStyle name="Border, Bottom" xfId="190" xr:uid="{9667663A-F651-4D3A-98AD-23819C2975C8}"/>
    <cellStyle name="Border, Left" xfId="191" xr:uid="{917FF2CB-8BF1-4F13-BB8F-E3FF82009962}"/>
    <cellStyle name="Border, Right" xfId="192" xr:uid="{0831B0B7-04A6-45BA-BC7B-5D2413B09E4E}"/>
    <cellStyle name="Border, Top" xfId="193" xr:uid="{0BB33D04-A2D4-4DF3-B9FF-D9704B0A1735}"/>
    <cellStyle name="Calc Currency (0)" xfId="194" xr:uid="{14744B5B-571B-415B-8E7E-62A10C59B3A1}"/>
    <cellStyle name="Comma" xfId="2" builtinId="3"/>
    <cellStyle name="Comma 10" xfId="195" xr:uid="{9CE3BB66-7CE2-45A8-BE9B-E4B6C92546D5}"/>
    <cellStyle name="Comma 12" xfId="196" xr:uid="{0DD7F0AC-FF18-41F3-B71A-8E7F5946BD84}"/>
    <cellStyle name="Comma 12 2" xfId="197" xr:uid="{53C5DE92-E3A2-439E-B980-F2F600AAE042}"/>
    <cellStyle name="Comma 2" xfId="198" xr:uid="{77593151-307F-448F-9233-1E889464A260}"/>
    <cellStyle name="Comma 2 2" xfId="199" xr:uid="{9AE69E03-E819-4068-BAA4-2CCB3AD3570A}"/>
    <cellStyle name="Comma 2 2 2" xfId="200" xr:uid="{F87E6B8D-20D4-4D2D-B00C-25E3EA24F0BC}"/>
    <cellStyle name="Comma 2 2 2 2" xfId="201" xr:uid="{6178C7A5-D6F4-4261-A064-42B4D607C1A2}"/>
    <cellStyle name="Comma 2 2 3" xfId="202" xr:uid="{FA6DF97A-E960-46C9-8607-B27CC7840835}"/>
    <cellStyle name="Comma 2 3" xfId="203" xr:uid="{9C58395A-FDCA-4B5B-ABE0-2B46C021E668}"/>
    <cellStyle name="Comma 2 4" xfId="204" xr:uid="{E6E8D3C5-F3FF-4A26-89B2-D499B379568E}"/>
    <cellStyle name="Comma 3" xfId="205" xr:uid="{6300AAAA-8C28-46F1-8DD9-BE953F85DCB7}"/>
    <cellStyle name="Comma 3 2" xfId="206" xr:uid="{893FDA68-1048-4EDE-8941-8C3A72829521}"/>
    <cellStyle name="Comma 3 2 2" xfId="207" xr:uid="{D41A7065-4625-4A3B-92DB-A253A1D41851}"/>
    <cellStyle name="Comma 3 3" xfId="208" xr:uid="{5E39447E-85C4-4C06-A9EA-87E5A52BCE8C}"/>
    <cellStyle name="Comma 4" xfId="209" xr:uid="{C95A40C7-8C90-4005-8CD5-0AEACA51D87C}"/>
    <cellStyle name="Comma 4 2" xfId="210" xr:uid="{B8F98FD7-90E5-4590-B6D7-9C9A884113C6}"/>
    <cellStyle name="Comma 5" xfId="4" xr:uid="{EFC56135-A66A-469E-B532-2AE8C770C17D}"/>
    <cellStyle name="Comma 6 2" xfId="211" xr:uid="{BC4B6043-1792-4F4B-8B30-BB12D97165FE}"/>
    <cellStyle name="Comma 6 2 2" xfId="212" xr:uid="{26F2D7B7-0D97-4054-89FF-0EA680EB69C1}"/>
    <cellStyle name="Comma 6 3" xfId="213" xr:uid="{67CD653A-8F84-453C-94E2-0368A3267C5B}"/>
    <cellStyle name="Comma 6 3 2" xfId="214" xr:uid="{59CAD5CF-9FAB-4C21-B33B-6CA8CAEFC7C3}"/>
    <cellStyle name="Comma 6 4" xfId="215" xr:uid="{6865742D-4E6B-42E9-A1B6-F7DF580E0B92}"/>
    <cellStyle name="Comma 6 4 2" xfId="216" xr:uid="{D6AE64A7-D691-47C1-B697-E11288AF63D5}"/>
    <cellStyle name="Comma 6 5" xfId="217" xr:uid="{ACD56EAA-EFBB-48F6-A471-BB7302184EC4}"/>
    <cellStyle name="Comma 6 5 2" xfId="218" xr:uid="{0ADFC0A4-8755-4C8A-8FAD-5EE6CB5486BE}"/>
    <cellStyle name="Comma 6 6" xfId="219" xr:uid="{116BD624-A1B0-4F29-9CE3-F5E52C45CFF8}"/>
    <cellStyle name="Comma 6 6 2" xfId="220" xr:uid="{EEACF201-0BE8-4873-A67C-00CBA5A7D3A7}"/>
    <cellStyle name="Comma0" xfId="221" xr:uid="{A39FB139-C248-4612-8152-0D89F93B5353}"/>
    <cellStyle name="Comma0 10" xfId="222" xr:uid="{11812582-BE12-4FFD-B2D1-5ECB8E70947B}"/>
    <cellStyle name="Comma0 10 10" xfId="223" xr:uid="{DFA2BDA9-287A-4741-8EA5-9575C1565F06}"/>
    <cellStyle name="Comma0 10 11" xfId="224" xr:uid="{91004D94-C9CF-485A-8D41-7A3C6F955618}"/>
    <cellStyle name="Comma0 10 12" xfId="225" xr:uid="{B0BD8210-5E8E-4A5B-BD18-7086CF0B9139}"/>
    <cellStyle name="Comma0 10 13" xfId="226" xr:uid="{A5F4334A-7687-40EA-A606-89B5C4BD373B}"/>
    <cellStyle name="Comma0 10 14" xfId="227" xr:uid="{56723B76-E400-4375-B3D2-DB96CD1E9E05}"/>
    <cellStyle name="Comma0 10 15" xfId="228" xr:uid="{1B6FBECF-FC0F-409C-B2A5-8A9E7470DEE4}"/>
    <cellStyle name="Comma0 10 16" xfId="229" xr:uid="{D72583DB-32BB-4E94-85AB-45953CB1BA33}"/>
    <cellStyle name="Comma0 10 17" xfId="230" xr:uid="{42746626-09A0-45D5-9FC6-2761DE56FF6E}"/>
    <cellStyle name="Comma0 10 18" xfId="231" xr:uid="{E2FF6E89-69F2-4E39-803C-004A97AD579D}"/>
    <cellStyle name="Comma0 10 19" xfId="232" xr:uid="{638E397F-9AA2-4FAF-A2F4-8BD31C34BAA7}"/>
    <cellStyle name="Comma0 10 2" xfId="233" xr:uid="{4F2EAF3A-540A-418E-A62A-87776F72E5E8}"/>
    <cellStyle name="Comma0 10 20" xfId="234" xr:uid="{D1231709-4176-4E71-AB7D-00996037B833}"/>
    <cellStyle name="Comma0 10 21" xfId="235" xr:uid="{47CCEDEE-FD9C-4047-B136-EEAA657B6826}"/>
    <cellStyle name="Comma0 10 22" xfId="236" xr:uid="{2F689A1E-7D05-43C1-8242-BEC001F5D1CE}"/>
    <cellStyle name="Comma0 10 23" xfId="237" xr:uid="{33FCFD69-986E-4176-9755-BCDF8DF04BFF}"/>
    <cellStyle name="Comma0 10 24" xfId="238" xr:uid="{C7F233A7-8C24-43C6-9432-36B3D3562DD5}"/>
    <cellStyle name="Comma0 10 25" xfId="239" xr:uid="{AEEB5D17-D436-4E30-9947-2F81833322FB}"/>
    <cellStyle name="Comma0 10 26" xfId="240" xr:uid="{0F569CEB-6828-40C4-B9DD-69B2E2A0ABE2}"/>
    <cellStyle name="Comma0 10 3" xfId="241" xr:uid="{D23428C2-6027-47AB-A00E-985F8DCC36BD}"/>
    <cellStyle name="Comma0 10 4" xfId="242" xr:uid="{AF492E32-A9EB-415E-9554-4BDC7E640DB1}"/>
    <cellStyle name="Comma0 10 5" xfId="243" xr:uid="{F7A3B9DA-110A-4AD1-A51B-154AC5248919}"/>
    <cellStyle name="Comma0 10 6" xfId="244" xr:uid="{7250B042-F7FC-4275-821E-856918173A04}"/>
    <cellStyle name="Comma0 10 7" xfId="245" xr:uid="{5EFB36AF-A74F-4407-8918-424AE4A5E5F1}"/>
    <cellStyle name="Comma0 10 8" xfId="246" xr:uid="{972E2C86-A92E-483B-A9A6-844427F5A429}"/>
    <cellStyle name="Comma0 10 9" xfId="247" xr:uid="{B2F418B0-AAE5-48B4-B2D8-6BB1C360E1BD}"/>
    <cellStyle name="Comma0 11" xfId="248" xr:uid="{2997333E-CE21-44CB-9CF8-57B2706603AF}"/>
    <cellStyle name="Comma0 11 2" xfId="249" xr:uid="{0C3E6161-7E83-4D11-B7F6-DD2990AE108E}"/>
    <cellStyle name="Comma0 11 3" xfId="250" xr:uid="{E63EDE73-E677-4D4C-A2BE-5D4292FA27DA}"/>
    <cellStyle name="Comma0 11 4" xfId="251" xr:uid="{A939923A-379F-4ACA-81F1-F49D201AA9E4}"/>
    <cellStyle name="Comma0 11 5" xfId="252" xr:uid="{44CCA440-3260-457A-846B-69A3FC071988}"/>
    <cellStyle name="Comma0 11 6" xfId="253" xr:uid="{D5CDA6A9-A45E-4D9E-AD5D-EA95D8A89421}"/>
    <cellStyle name="Comma0 11 7" xfId="254" xr:uid="{A565BD70-7EF0-4CA9-B3D3-E65C9C864E7A}"/>
    <cellStyle name="Comma0 12" xfId="255" xr:uid="{F21F4418-232C-47AE-B131-43770439D168}"/>
    <cellStyle name="Comma0 12 2" xfId="256" xr:uid="{64133290-BC7D-46A7-A048-72DC42A2473E}"/>
    <cellStyle name="Comma0 12 2 2" xfId="257" xr:uid="{ED37C7D2-E7C6-4852-B5E0-33B50A97C52F}"/>
    <cellStyle name="Comma0 12 3" xfId="258" xr:uid="{174D4C9B-7E1E-4D9E-83C8-2E6F630F99DB}"/>
    <cellStyle name="Comma0 12 3 2" xfId="259" xr:uid="{C911505E-C352-4BF5-B52E-798977B3E548}"/>
    <cellStyle name="Comma0 12 4" xfId="260" xr:uid="{951F3820-5A22-4EDA-AEC5-CE1468FBCCF8}"/>
    <cellStyle name="Comma0 13" xfId="261" xr:uid="{9ED185B1-4E58-458D-AD86-5162A1A4BD08}"/>
    <cellStyle name="Comma0 13 2" xfId="262" xr:uid="{CF606262-A1F1-4B1F-B3E6-6918CD9A91A3}"/>
    <cellStyle name="Comma0 14" xfId="263" xr:uid="{89FC1A40-D011-49B7-B3EE-20669C7BDAEF}"/>
    <cellStyle name="Comma0 14 2" xfId="264" xr:uid="{8EED348F-D19B-4762-AA25-4908A1D8D4D9}"/>
    <cellStyle name="Comma0 15" xfId="265" xr:uid="{CD23E4BF-23F1-4029-B105-7FF9C39634AC}"/>
    <cellStyle name="Comma0 15 2" xfId="266" xr:uid="{9945440C-A315-4834-8544-6E304F14A4C2}"/>
    <cellStyle name="Comma0 16" xfId="267" xr:uid="{AADBD056-79AA-48F6-AE60-938CF5BE4546}"/>
    <cellStyle name="Comma0 16 2" xfId="268" xr:uid="{B16B0B37-39FC-4C8B-B137-0ABCDC03C43A}"/>
    <cellStyle name="Comma0 17" xfId="269" xr:uid="{F527690F-F00F-4948-868D-201380CA4A3C}"/>
    <cellStyle name="Comma0 17 2" xfId="270" xr:uid="{E6CB3D76-A727-432B-BC1C-CB9A8E9033F1}"/>
    <cellStyle name="Comma0 18" xfId="271" xr:uid="{F45280D9-2C91-4277-B32F-1F87FC817025}"/>
    <cellStyle name="Comma0 19" xfId="272" xr:uid="{D29CA123-A9AC-4E05-A033-224EFDFFEB56}"/>
    <cellStyle name="Comma0 2" xfId="273" xr:uid="{9FB6E3ED-DDA4-48E9-89DF-085DFB28923C}"/>
    <cellStyle name="Comma0 2 2" xfId="274" xr:uid="{E9226D4A-E254-40A7-AF15-2FD942D5A199}"/>
    <cellStyle name="Comma0 2 2 2" xfId="275" xr:uid="{F57C6E8D-6525-4A2D-8BA7-392DA181B03E}"/>
    <cellStyle name="Comma0 2 3" xfId="276" xr:uid="{8E020C5F-CFE2-4A51-96D1-AE05537E3E90}"/>
    <cellStyle name="Comma0 2 3 2" xfId="277" xr:uid="{891DF50B-B455-42C1-A73D-C3AA342C6AF8}"/>
    <cellStyle name="Comma0 2 4" xfId="278" xr:uid="{3AB2EFDA-C13F-4B04-AF08-2CEBE0B11EBF}"/>
    <cellStyle name="Comma0 2 4 2" xfId="279" xr:uid="{D0F0943F-C74A-4F59-A734-8A68E53051E0}"/>
    <cellStyle name="Comma0 2 5" xfId="280" xr:uid="{59838131-6510-4B53-BF88-7C646137DBF8}"/>
    <cellStyle name="Comma0 2 5 2" xfId="281" xr:uid="{1DC1FFBC-8665-4AF9-93E8-493F9FDCFDAF}"/>
    <cellStyle name="Comma0 2 6" xfId="282" xr:uid="{D3B1A879-3738-4719-BAFA-F76F3B000720}"/>
    <cellStyle name="Comma0 2 6 2" xfId="283" xr:uid="{F30DB3A0-BA23-4075-A545-BC1B8E51BA87}"/>
    <cellStyle name="Comma0 2 7" xfId="284" xr:uid="{5E698367-871C-4F4D-8D2B-C841BD675628}"/>
    <cellStyle name="Comma0 20" xfId="285" xr:uid="{239CEDFA-5F6D-47C7-8E5E-9D84E29686E2}"/>
    <cellStyle name="Comma0 21" xfId="286" xr:uid="{9340CD66-9C29-4815-BB40-2314F247296C}"/>
    <cellStyle name="Comma0 22" xfId="287" xr:uid="{28CCA6DD-128C-4AEE-B97F-936183B688B8}"/>
    <cellStyle name="Comma0 23" xfId="288" xr:uid="{A1A3F413-16F5-49E9-BD88-55A3B1689D00}"/>
    <cellStyle name="Comma0 24" xfId="289" xr:uid="{B974271B-03C4-496F-8DDC-388E8CFDE0A1}"/>
    <cellStyle name="Comma0 25" xfId="290" xr:uid="{84A69D92-42F4-4A80-BC67-5209F5EC37F8}"/>
    <cellStyle name="Comma0 26" xfId="291" xr:uid="{38432399-E292-4C3A-B6BB-E81AC402E184}"/>
    <cellStyle name="Comma0 27" xfId="292" xr:uid="{DDB61911-88EC-4893-8B6C-A116355A6ED1}"/>
    <cellStyle name="Comma0 28" xfId="293" xr:uid="{B1D729D1-B6E9-4220-9FE6-6C8E62AC00B6}"/>
    <cellStyle name="Comma0 29" xfId="294" xr:uid="{511C3014-3ABE-4BA9-B37B-41C9DA7A9B8B}"/>
    <cellStyle name="Comma0 3" xfId="295" xr:uid="{C1BF3CF6-9507-454E-9CA6-F007A527B144}"/>
    <cellStyle name="Comma0 3 2" xfId="296" xr:uid="{5EA9DD33-22CA-418A-A4DE-5EABF4CBC177}"/>
    <cellStyle name="Comma0 30" xfId="297" xr:uid="{9772486A-4A8F-4F1E-BA66-2717D7006993}"/>
    <cellStyle name="Comma0 31" xfId="298" xr:uid="{1CF83249-A150-46ED-A248-A691FC11EA2B}"/>
    <cellStyle name="Comma0 31 2" xfId="299" xr:uid="{D2737EF4-7CC4-4C2C-A000-642337DEB69A}"/>
    <cellStyle name="Comma0 31 3" xfId="300" xr:uid="{F8603B9F-1B64-4F0C-8811-72CCF2E76426}"/>
    <cellStyle name="Comma0 31 4" xfId="301" xr:uid="{1BF6F5FA-FC5F-413A-973D-B37BB0B90C99}"/>
    <cellStyle name="Comma0 32" xfId="302" xr:uid="{33E565F4-ACE4-4C4E-8D6F-9D9922D26D39}"/>
    <cellStyle name="Comma0 32 2" xfId="303" xr:uid="{649423B8-EAFB-44E4-B9DB-F5D3DC81A3BD}"/>
    <cellStyle name="Comma0 32 3" xfId="304" xr:uid="{29E6B648-29B9-4695-966B-918097EDF282}"/>
    <cellStyle name="Comma0 32 4" xfId="305" xr:uid="{1F1BC941-82FC-4498-96AE-08791C7218A9}"/>
    <cellStyle name="Comma0 33" xfId="306" xr:uid="{5729AC98-C5AD-462D-B68E-453F4DAAD431}"/>
    <cellStyle name="Comma0 33 2" xfId="307" xr:uid="{9BD6735C-D26F-4D12-B1E0-A822AED21578}"/>
    <cellStyle name="Comma0 33 3" xfId="308" xr:uid="{B1CD09EF-4097-47C4-914D-65340BA4DFC0}"/>
    <cellStyle name="Comma0 34" xfId="309" xr:uid="{D2E07305-1651-4895-B74A-1BC21E5A1891}"/>
    <cellStyle name="Comma0 34 2" xfId="310" xr:uid="{0D180FE2-2ECD-444E-8844-A3F086F9D6B7}"/>
    <cellStyle name="Comma0 35" xfId="311" xr:uid="{95610F51-68F9-4857-897E-655A51E900C8}"/>
    <cellStyle name="Comma0 35 2" xfId="312" xr:uid="{CFB2B3D3-407A-4BE5-B43F-A80AAFDD68E6}"/>
    <cellStyle name="Comma0 36" xfId="313" xr:uid="{E3D75180-6F2D-4968-9823-BC8BC38AA28A}"/>
    <cellStyle name="Comma0 36 2" xfId="314" xr:uid="{E13E7C74-CD47-408F-B247-44528B4CCA07}"/>
    <cellStyle name="Comma0 37" xfId="315" xr:uid="{71183B6F-DD42-45C0-A83D-05430B50BC12}"/>
    <cellStyle name="Comma0 38" xfId="316" xr:uid="{CFCC09D1-3352-46BF-A891-BCC8E19D1968}"/>
    <cellStyle name="Comma0 39" xfId="317" xr:uid="{A7BB45C9-2B60-4102-8F05-7284A9D99966}"/>
    <cellStyle name="Comma0 4" xfId="318" xr:uid="{BEC81245-D1A0-484D-8E56-68C554FC57B2}"/>
    <cellStyle name="Comma0 4 2" xfId="319" xr:uid="{E43FDBEC-FA25-417E-9B9F-E143BE242307}"/>
    <cellStyle name="Comma0 4 2 2" xfId="320" xr:uid="{5C73E679-E56E-4355-9EA7-1B002386C73C}"/>
    <cellStyle name="Comma0 4 3" xfId="321" xr:uid="{5062399F-21C3-4A82-8545-16A7BB6243A8}"/>
    <cellStyle name="Comma0 40" xfId="322" xr:uid="{821998BD-C0B1-4498-BFD8-0F8CD881EFA4}"/>
    <cellStyle name="Comma0 41" xfId="323" xr:uid="{8D33C9AF-F4D5-4F8E-8E47-A6E96F24C15B}"/>
    <cellStyle name="Comma0 42" xfId="324" xr:uid="{D0D0F927-7DA3-4B59-9F20-7EDD50A0F927}"/>
    <cellStyle name="Comma0 42 2" xfId="325" xr:uid="{B1508D35-E3CA-40FD-99B9-B95E222521B9}"/>
    <cellStyle name="Comma0 43" xfId="326" xr:uid="{D41CA483-B428-4B71-85BB-E564E651DE83}"/>
    <cellStyle name="Comma0 5" xfId="327" xr:uid="{93B14C2B-F94F-45A7-9E0E-3E58DD8D1857}"/>
    <cellStyle name="Comma0 5 2" xfId="328" xr:uid="{4F26B2BA-CBB0-497B-8D0D-9D9A1E904B58}"/>
    <cellStyle name="Comma0 6" xfId="329" xr:uid="{A322BFED-86DB-4068-8535-315FFC231E4F}"/>
    <cellStyle name="Comma0 6 2" xfId="330" xr:uid="{F5FA2E3F-029E-4F10-A613-F9E5020C488B}"/>
    <cellStyle name="Comma0 7" xfId="331" xr:uid="{54BEB001-A6DD-49E3-A2D8-46888ED5FB9C}"/>
    <cellStyle name="Comma0 7 2" xfId="332" xr:uid="{1F3F0B65-DF0F-47A0-AF7C-171FE1483B34}"/>
    <cellStyle name="Comma0 8" xfId="333" xr:uid="{D33F8A3B-B73C-4F02-95DC-E11AFBF52DDC}"/>
    <cellStyle name="Comma0 8 2" xfId="334" xr:uid="{686D19A9-85F4-447F-94C9-E9DD7DFE04CD}"/>
    <cellStyle name="Comma0 9" xfId="335" xr:uid="{E4B597EB-337D-43CB-81E5-B127AAF40171}"/>
    <cellStyle name="Comma0 9 2" xfId="336" xr:uid="{72E35D9B-DFC4-4446-B08F-14E44F8149ED}"/>
    <cellStyle name="Comma0 9 2 2" xfId="337" xr:uid="{D6E6D3D1-DED7-4F48-928D-20FB5F8FFEF0}"/>
    <cellStyle name="Comma0 9 3" xfId="338" xr:uid="{129029B9-314D-4980-9134-F2E4D2145E74}"/>
    <cellStyle name="Comma0 9 3 2" xfId="339" xr:uid="{7361C8E9-5E54-4CF6-9F75-5F14999CB67C}"/>
    <cellStyle name="Comma0 9 4" xfId="340" xr:uid="{95BD01F0-1FA8-45AF-B95A-E6C0E6498C04}"/>
    <cellStyle name="Comma0 9 4 2" xfId="341" xr:uid="{D1F351A7-BD74-4312-ABE9-F6A8E0B62167}"/>
    <cellStyle name="Comma0 9 5" xfId="342" xr:uid="{31530BA5-668E-45B1-8E5A-E7CCBF63A118}"/>
    <cellStyle name="Copied" xfId="343" xr:uid="{D1715BC5-A7F7-4B73-95DD-2E0E69210D32}"/>
    <cellStyle name="Currency 2" xfId="344" xr:uid="{1D8225C2-3CBB-449E-A641-228CAD93D812}"/>
    <cellStyle name="Currency 2 10" xfId="345" xr:uid="{1C012E9B-4F2B-4EF0-BA02-BEB2B4ED5C04}"/>
    <cellStyle name="Currency 2 10 2" xfId="346" xr:uid="{0CDCBF38-AC3F-4386-9575-874BCEBC5DDD}"/>
    <cellStyle name="Currency 2 11" xfId="347" xr:uid="{788A865E-153A-44E4-ADD5-21DDD01E394D}"/>
    <cellStyle name="Currency 2 11 2" xfId="348" xr:uid="{8777C814-08B6-4862-B4FA-80E05DC8502D}"/>
    <cellStyle name="Currency 2 12" xfId="349" xr:uid="{3B11D2AB-61B8-42F6-8D46-579ED4D67D4F}"/>
    <cellStyle name="Currency 2 12 2" xfId="350" xr:uid="{3E238D6B-FE72-4395-9D8A-091A634403CF}"/>
    <cellStyle name="Currency 2 13" xfId="351" xr:uid="{AC06CAC4-2D23-4525-B633-5ED688E23D79}"/>
    <cellStyle name="Currency 2 2" xfId="352" xr:uid="{DD469B5F-BE66-4913-81D2-8F77B7DD6E3F}"/>
    <cellStyle name="Currency 2 2 2" xfId="353" xr:uid="{84FB09F9-07D1-4A53-B966-A23381E153B7}"/>
    <cellStyle name="Currency 2 3" xfId="354" xr:uid="{B0005DA0-1233-4C0F-AC6B-C2C20D8AC478}"/>
    <cellStyle name="Currency 2 3 2" xfId="355" xr:uid="{72B85FA9-7C79-489E-99A8-0506EBE1E832}"/>
    <cellStyle name="Currency 2 4" xfId="356" xr:uid="{ECF3FCB1-F39D-49A6-8451-E945BA0F5819}"/>
    <cellStyle name="Currency 2 4 2" xfId="357" xr:uid="{BC17915F-DA92-4F79-9BD9-A5497ED726B3}"/>
    <cellStyle name="Currency 2 5" xfId="358" xr:uid="{9E1A163E-BC27-4FDA-B131-E430C6046165}"/>
    <cellStyle name="Currency 2 5 2" xfId="359" xr:uid="{E89628B4-2EC4-4306-907B-9FB79ECA3DE6}"/>
    <cellStyle name="Currency 2 6" xfId="360" xr:uid="{FD1AA542-200E-4B5A-9E39-51A535B4C850}"/>
    <cellStyle name="Currency 2 6 2" xfId="361" xr:uid="{F6D6402E-F729-4D02-8554-F7C51ADC021F}"/>
    <cellStyle name="Currency 2 7" xfId="362" xr:uid="{8E2F9464-F247-47C7-A96A-424E943FA855}"/>
    <cellStyle name="Currency 2 7 2" xfId="363" xr:uid="{A6F5B90E-7F11-4402-9909-94CD293E09E4}"/>
    <cellStyle name="Currency 2 8" xfId="364" xr:uid="{70A22DFB-3748-4FE3-A153-6CE908D83B7D}"/>
    <cellStyle name="Currency 2 8 2" xfId="365" xr:uid="{A5EB4A8D-4A9B-4B4C-8104-8810A6D5F257}"/>
    <cellStyle name="Currency 2 9" xfId="366" xr:uid="{73CC7A04-1090-43B3-889E-D596F16BF3A6}"/>
    <cellStyle name="Currency 2 9 2" xfId="367" xr:uid="{073CD03F-FF5F-400C-A9F8-74465BFC5313}"/>
    <cellStyle name="Currency 3" xfId="368" xr:uid="{8D8D5662-B174-4A69-A012-1DBAB76A50C2}"/>
    <cellStyle name="Currency 3 2" xfId="369" xr:uid="{39FB154F-735C-45C8-A4F1-58A399B27073}"/>
    <cellStyle name="Currency 3 2 2" xfId="370" xr:uid="{EB0CB32E-BCAF-4BA6-8723-7BD32388C889}"/>
    <cellStyle name="Currency 3 2 2 2" xfId="371" xr:uid="{B8374521-1B8A-4770-9BFD-76BBE076F67E}"/>
    <cellStyle name="Currency 3 2 3" xfId="372" xr:uid="{73EB2AC7-F5F2-44B4-B4B7-686E34B7F90C}"/>
    <cellStyle name="Currency 3 3" xfId="373" xr:uid="{04E37448-9927-4C20-8079-C7B235986BF9}"/>
    <cellStyle name="Currency 3 3 2" xfId="374" xr:uid="{E96CC08F-B374-48F5-9231-AD65CE293756}"/>
    <cellStyle name="Currency 3 4" xfId="375" xr:uid="{D527FE1D-6A99-4F30-85AB-150494740067}"/>
    <cellStyle name="Currency 4" xfId="376" xr:uid="{517088CB-025D-469A-9BB3-A5BC02AC5961}"/>
    <cellStyle name="Currency 7" xfId="377" xr:uid="{331B577E-B564-4482-8B60-89A2E9720325}"/>
    <cellStyle name="Currency 7 2" xfId="378" xr:uid="{83417AC6-3246-4401-860C-E08E85DF5E3B}"/>
    <cellStyle name="Currency0" xfId="379" xr:uid="{B0655429-7FE6-42A2-9A84-4F8D14EC4EC8}"/>
    <cellStyle name="Currency0 10" xfId="380" xr:uid="{0B8C1454-9971-4D51-9277-CBF0061C4BED}"/>
    <cellStyle name="Currency0 10 10" xfId="381" xr:uid="{1255C499-D058-4E2F-AE26-6DDF86B55599}"/>
    <cellStyle name="Currency0 10 11" xfId="382" xr:uid="{EDF55667-5CFF-4BE2-BC3C-EF66658671CE}"/>
    <cellStyle name="Currency0 10 12" xfId="383" xr:uid="{EA7F95FD-97E1-4D78-8B0D-ABD14481BBE0}"/>
    <cellStyle name="Currency0 10 13" xfId="384" xr:uid="{C3BE5BC9-874F-459E-9F14-C219447C86E9}"/>
    <cellStyle name="Currency0 10 14" xfId="385" xr:uid="{3DE75148-5E62-42B3-97D4-CCC47445BCE3}"/>
    <cellStyle name="Currency0 10 15" xfId="386" xr:uid="{A4F2A085-819F-4BBF-8EDE-9D9358CDC065}"/>
    <cellStyle name="Currency0 10 16" xfId="387" xr:uid="{47D75707-9835-45B9-B647-D81B8DE62C71}"/>
    <cellStyle name="Currency0 10 17" xfId="388" xr:uid="{CC7BFB1E-B4D8-4BF2-AC5C-D029F52DF3BF}"/>
    <cellStyle name="Currency0 10 18" xfId="389" xr:uid="{7E59D622-5E62-46C2-A4CB-8C7B4A1F8981}"/>
    <cellStyle name="Currency0 10 19" xfId="390" xr:uid="{E9E57488-16AB-4F75-AC5E-69616C30CEE4}"/>
    <cellStyle name="Currency0 10 2" xfId="391" xr:uid="{ED7DBF70-F361-4B9A-944F-9C7EF3CEA750}"/>
    <cellStyle name="Currency0 10 20" xfId="392" xr:uid="{01533DDD-89E6-4D20-A319-20663EB5EE10}"/>
    <cellStyle name="Currency0 10 21" xfId="393" xr:uid="{97BBFE40-639E-4A71-AF7E-9E1CB89E5C02}"/>
    <cellStyle name="Currency0 10 22" xfId="394" xr:uid="{49989959-0CE1-42E0-9CF5-4A249A87A69A}"/>
    <cellStyle name="Currency0 10 23" xfId="395" xr:uid="{00BE420B-ADF2-42EB-9814-F7745540AD33}"/>
    <cellStyle name="Currency0 10 24" xfId="396" xr:uid="{13996C77-4A81-4BC4-A62D-E160D76224B5}"/>
    <cellStyle name="Currency0 10 25" xfId="397" xr:uid="{86A26F2E-A601-4193-B20D-8C604E61BB6B}"/>
    <cellStyle name="Currency0 10 26" xfId="398" xr:uid="{4937CC70-F2D0-426D-A568-746CE7798588}"/>
    <cellStyle name="Currency0 10 3" xfId="399" xr:uid="{838CC4BB-34EB-4536-8BEF-AA040B194764}"/>
    <cellStyle name="Currency0 10 4" xfId="400" xr:uid="{482B3B83-EFCA-4FA5-BF0D-D324C723A043}"/>
    <cellStyle name="Currency0 10 5" xfId="401" xr:uid="{2424F7BA-0706-4970-A095-AAC4E9F14410}"/>
    <cellStyle name="Currency0 10 6" xfId="402" xr:uid="{35A702CC-4E42-465B-A4F5-CF719BE46F11}"/>
    <cellStyle name="Currency0 10 7" xfId="403" xr:uid="{A04A7446-E074-4BD1-A5FB-4F1D40E57262}"/>
    <cellStyle name="Currency0 10 8" xfId="404" xr:uid="{F677B8B4-FC8C-4B3C-A4DC-2A4B37C41738}"/>
    <cellStyle name="Currency0 10 9" xfId="405" xr:uid="{650EB21F-F93E-447C-A650-60C27EDDC3A2}"/>
    <cellStyle name="Currency0 11" xfId="406" xr:uid="{E9E940F7-4CB7-43CB-B91A-4C766C3B897C}"/>
    <cellStyle name="Currency0 11 2" xfId="407" xr:uid="{C09B4596-D5AA-4620-92EF-1B4BB07A16E7}"/>
    <cellStyle name="Currency0 11 3" xfId="408" xr:uid="{C5D6B3B7-7FA7-49C0-9798-9F2B1A299030}"/>
    <cellStyle name="Currency0 11 4" xfId="409" xr:uid="{AF5DFE31-FF79-4033-AD46-516CFD916C5B}"/>
    <cellStyle name="Currency0 11 5" xfId="410" xr:uid="{5FCAB70C-10E4-4DF7-93DA-CF98532969D8}"/>
    <cellStyle name="Currency0 11 6" xfId="411" xr:uid="{886D215B-7D8E-4844-9C0C-0A89F020375C}"/>
    <cellStyle name="Currency0 11 7" xfId="412" xr:uid="{4A4C7A1E-6C25-4185-837A-E2E7B10F2717}"/>
    <cellStyle name="Currency0 12" xfId="413" xr:uid="{D92B3E8B-407D-46EB-9060-7E1C3B0F08DA}"/>
    <cellStyle name="Currency0 12 2" xfId="414" xr:uid="{D84F2247-6F58-49FD-BF33-12636445972D}"/>
    <cellStyle name="Currency0 12 2 2" xfId="415" xr:uid="{996D8010-A656-4E3D-8D90-14AC285E92E6}"/>
    <cellStyle name="Currency0 12 3" xfId="416" xr:uid="{FBE7956B-8F3D-4D2B-A4CD-5878AB9FA1DB}"/>
    <cellStyle name="Currency0 12 3 2" xfId="417" xr:uid="{BF3BFF36-2867-4377-96C9-A1629902DD6F}"/>
    <cellStyle name="Currency0 12 4" xfId="418" xr:uid="{81DEEC14-B2E6-4FC3-B689-BCFFA71CD306}"/>
    <cellStyle name="Currency0 13" xfId="419" xr:uid="{3F9D6BC0-40D9-4072-834D-30C69702C498}"/>
    <cellStyle name="Currency0 13 2" xfId="420" xr:uid="{CBDA426B-032C-4701-A50F-2B73A6620365}"/>
    <cellStyle name="Currency0 14" xfId="421" xr:uid="{6C8A4EFF-BC97-4F7D-800D-E45DC4C8D0A1}"/>
    <cellStyle name="Currency0 14 2" xfId="422" xr:uid="{8CE9ECF9-0529-49BD-BCB7-A5677E84947F}"/>
    <cellStyle name="Currency0 15" xfId="423" xr:uid="{BAAE5C1D-7095-4DF1-AAA1-0799DE7CDC3A}"/>
    <cellStyle name="Currency0 15 2" xfId="424" xr:uid="{BE55FBE9-C25F-4F60-BB43-A37FE3CFE2EC}"/>
    <cellStyle name="Currency0 16" xfId="425" xr:uid="{F6875032-B5E5-43AB-9CB8-8C0367AE21C4}"/>
    <cellStyle name="Currency0 16 2" xfId="426" xr:uid="{F99D8419-8693-49AE-B25B-46819465A722}"/>
    <cellStyle name="Currency0 17" xfId="427" xr:uid="{9A22A87B-E78B-4F24-843B-C53B01E8AAA6}"/>
    <cellStyle name="Currency0 17 2" xfId="428" xr:uid="{0BA1E999-6178-4520-83E6-B2B489805EFE}"/>
    <cellStyle name="Currency0 18" xfId="429" xr:uid="{93367E44-8246-45A7-91DB-815B8961E871}"/>
    <cellStyle name="Currency0 19" xfId="430" xr:uid="{92CFF678-D091-4793-9A9F-E6E43F0AB986}"/>
    <cellStyle name="Currency0 2" xfId="431" xr:uid="{71BA8BEC-C74F-4672-B4D9-9521093D901F}"/>
    <cellStyle name="Currency0 2 2" xfId="432" xr:uid="{311FB18C-82D4-4736-A8F5-DBDEAA463F15}"/>
    <cellStyle name="Currency0 2 2 2" xfId="433" xr:uid="{052C2382-C176-4965-9B49-0DABE65D7BC1}"/>
    <cellStyle name="Currency0 2 3" xfId="434" xr:uid="{239F9BD7-6848-4D6F-9780-E1D770E8D35C}"/>
    <cellStyle name="Currency0 2 3 2" xfId="435" xr:uid="{C105A508-4011-4695-85B6-8514B3B89A86}"/>
    <cellStyle name="Currency0 2 4" xfId="436" xr:uid="{99B1D4CF-1237-4A45-B9E5-35023240086A}"/>
    <cellStyle name="Currency0 2 4 2" xfId="437" xr:uid="{1282A23E-1DFE-4D2B-8BC9-4A59447D7D38}"/>
    <cellStyle name="Currency0 2 5" xfId="438" xr:uid="{94322121-079E-42BA-826F-1BD4E3B37F0F}"/>
    <cellStyle name="Currency0 2 5 2" xfId="439" xr:uid="{26AEF445-5422-48DC-991B-F10A32F94D06}"/>
    <cellStyle name="Currency0 2 6" xfId="440" xr:uid="{5F055AB5-76EB-47CB-B1E6-122C102900DC}"/>
    <cellStyle name="Currency0 2 6 2" xfId="441" xr:uid="{A11E3293-59C3-4D71-955B-ACEC4F5002AD}"/>
    <cellStyle name="Currency0 2 7" xfId="442" xr:uid="{920AE795-F5FF-43BA-BB8F-7B478546421E}"/>
    <cellStyle name="Currency0 20" xfId="443" xr:uid="{1EAE961C-D0C1-496D-8D5B-36424D71D066}"/>
    <cellStyle name="Currency0 21" xfId="444" xr:uid="{A335BD74-1E27-45DE-AEE3-76D5DD782753}"/>
    <cellStyle name="Currency0 22" xfId="445" xr:uid="{B4EF9094-6A4B-489A-B038-4E11FA9863CF}"/>
    <cellStyle name="Currency0 23" xfId="446" xr:uid="{AC5C68CE-785A-4908-BA76-7E17D69CE664}"/>
    <cellStyle name="Currency0 24" xfId="447" xr:uid="{32193404-7A54-4490-84B8-BD758C2A5FF5}"/>
    <cellStyle name="Currency0 25" xfId="448" xr:uid="{E2ACD952-A08D-4830-906D-26060B76FB05}"/>
    <cellStyle name="Currency0 26" xfId="449" xr:uid="{A92AA2D7-8AD3-4946-9C1E-607F6C7BAEE9}"/>
    <cellStyle name="Currency0 27" xfId="450" xr:uid="{F6E0BF41-FA87-4A34-B604-B2F2540EBBCA}"/>
    <cellStyle name="Currency0 28" xfId="451" xr:uid="{D746699A-E619-4BC2-8127-1AF8AAF704AF}"/>
    <cellStyle name="Currency0 29" xfId="452" xr:uid="{E1BA4C63-179E-4E6F-B2D5-E47E30630A1D}"/>
    <cellStyle name="Currency0 3" xfId="453" xr:uid="{8A3D79F0-0EEC-4CBD-8203-A6373A5758F0}"/>
    <cellStyle name="Currency0 3 2" xfId="454" xr:uid="{514F86CB-2978-4390-ADA7-2A868F6B1E09}"/>
    <cellStyle name="Currency0 30" xfId="455" xr:uid="{11D9A99F-AB0E-482C-B188-FB492EC72FDA}"/>
    <cellStyle name="Currency0 31" xfId="456" xr:uid="{3CF1E343-66CA-4298-A975-F77A2CFFBBF2}"/>
    <cellStyle name="Currency0 31 2" xfId="457" xr:uid="{A03E5DED-BAEB-47DF-887A-6D6C22F77B21}"/>
    <cellStyle name="Currency0 31 3" xfId="458" xr:uid="{CD482446-C493-4AFA-812A-31F3BE7CA482}"/>
    <cellStyle name="Currency0 31 4" xfId="459" xr:uid="{FC66D1BA-F1F3-4285-9770-32FD58F04576}"/>
    <cellStyle name="Currency0 32" xfId="460" xr:uid="{B49E1E6F-8017-4A2C-8E5C-6BD49D3FA839}"/>
    <cellStyle name="Currency0 32 2" xfId="461" xr:uid="{68AAE0C8-26FF-4E3F-A51D-FD20C638A633}"/>
    <cellStyle name="Currency0 32 3" xfId="462" xr:uid="{DA547FF7-F0B3-47B9-92B0-E6E5BB8E2ABC}"/>
    <cellStyle name="Currency0 32 4" xfId="463" xr:uid="{6581AE19-305C-47C0-9533-27C791351173}"/>
    <cellStyle name="Currency0 33" xfId="464" xr:uid="{540EFD05-71B6-4C90-B8DE-4343624C9254}"/>
    <cellStyle name="Currency0 33 2" xfId="465" xr:uid="{D479531D-DE55-418A-A6BC-B9C70A9AD5C5}"/>
    <cellStyle name="Currency0 33 3" xfId="466" xr:uid="{9F828A27-8B00-4B52-89E7-19E253EE304E}"/>
    <cellStyle name="Currency0 34" xfId="467" xr:uid="{0820C87B-1BB9-4454-BAFC-83A3923B5F47}"/>
    <cellStyle name="Currency0 34 2" xfId="468" xr:uid="{9520FFA3-6C6E-45EB-93B0-8DC5BDBB872E}"/>
    <cellStyle name="Currency0 35" xfId="469" xr:uid="{2482E8F8-E20F-4D6D-8F57-2BF7460D766D}"/>
    <cellStyle name="Currency0 35 2" xfId="470" xr:uid="{1078E880-B770-4657-AEB5-DE3EBAA726FC}"/>
    <cellStyle name="Currency0 36" xfId="471" xr:uid="{9653E94F-FC8F-4A24-B45A-4E1F24C3A3CA}"/>
    <cellStyle name="Currency0 36 2" xfId="472" xr:uid="{426DB174-F391-45F7-B156-5B7A47A16981}"/>
    <cellStyle name="Currency0 37" xfId="473" xr:uid="{DD2C903B-00CE-450B-8297-E2747733E7DB}"/>
    <cellStyle name="Currency0 38" xfId="474" xr:uid="{2F1CE112-776B-46DE-8695-8302EC1E0A20}"/>
    <cellStyle name="Currency0 39" xfId="475" xr:uid="{FA59F56A-D37A-4E88-B312-92C57E043809}"/>
    <cellStyle name="Currency0 4" xfId="476" xr:uid="{35C0C3A2-C537-43F0-A830-2CB4F0049139}"/>
    <cellStyle name="Currency0 4 2" xfId="477" xr:uid="{B7660B8E-83B5-4543-9D1C-DC4DA2F54DD2}"/>
    <cellStyle name="Currency0 4 2 2" xfId="478" xr:uid="{E99C5088-B9E9-4840-8D8C-88D99DB394B0}"/>
    <cellStyle name="Currency0 4 3" xfId="479" xr:uid="{D5C7185A-88C9-4FCD-AFC8-75851DFF8BEE}"/>
    <cellStyle name="Currency0 40" xfId="480" xr:uid="{F771BE2D-76FE-4B1C-9C45-44B94F3CDB49}"/>
    <cellStyle name="Currency0 41" xfId="481" xr:uid="{F972D3D4-C469-4E9D-841B-329E10F00874}"/>
    <cellStyle name="Currency0 42" xfId="482" xr:uid="{76243BF1-A43E-40D0-A805-7D3F58641B9E}"/>
    <cellStyle name="Currency0 42 2" xfId="483" xr:uid="{A9EFBD4C-3528-44B6-95CC-2420C08CCEA4}"/>
    <cellStyle name="Currency0 43" xfId="484" xr:uid="{90B4DE57-5B0E-4A08-92AA-BBD8DCFAAE24}"/>
    <cellStyle name="Currency0 5" xfId="485" xr:uid="{9F7E5E37-CDAD-45B1-AFB1-5C13B944E8E8}"/>
    <cellStyle name="Currency0 5 2" xfId="486" xr:uid="{76F45C52-2BA3-4D3F-8A2B-1F74C60F6A4E}"/>
    <cellStyle name="Currency0 6" xfId="487" xr:uid="{2D4B74D9-8716-4183-92FE-45D14224A9B0}"/>
    <cellStyle name="Currency0 6 2" xfId="488" xr:uid="{14559629-F791-4F27-9E9B-38B708E85C83}"/>
    <cellStyle name="Currency0 7" xfId="489" xr:uid="{F1EEFD75-3EB5-4FED-8B13-87603AA72D88}"/>
    <cellStyle name="Currency0 7 2" xfId="490" xr:uid="{99BD30FC-EC64-4BBE-A3F3-29936C5D0773}"/>
    <cellStyle name="Currency0 8" xfId="491" xr:uid="{AA656F91-5489-48EB-AAAF-A0A20E4A1760}"/>
    <cellStyle name="Currency0 8 2" xfId="492" xr:uid="{4C463C21-B561-4FDF-88FE-5183D2F40361}"/>
    <cellStyle name="Currency0 9" xfId="493" xr:uid="{52019905-4357-4A45-8947-27F7D7B5115C}"/>
    <cellStyle name="Currency0 9 2" xfId="494" xr:uid="{FEC1DC6B-E5AF-4D70-A91D-038FE3F32937}"/>
    <cellStyle name="Currency0 9 2 2" xfId="495" xr:uid="{0856C76D-7851-4BFE-BBBA-893582E10839}"/>
    <cellStyle name="Currency0 9 3" xfId="496" xr:uid="{5C2E4D8A-202F-4AB8-85AA-54966B260565}"/>
    <cellStyle name="Currency0 9 3 2" xfId="497" xr:uid="{57D048BE-1BE0-4928-A2CF-F5A6042F17D6}"/>
    <cellStyle name="Currency0 9 4" xfId="498" xr:uid="{27F04984-8702-43AC-BE41-A0BA500BF419}"/>
    <cellStyle name="Currency0 9 4 2" xfId="499" xr:uid="{C6FB6BB0-A6B4-4FCE-8A19-56240BC66CE2}"/>
    <cellStyle name="Currency0 9 5" xfId="500" xr:uid="{755CE12C-FA54-409D-840A-C6B7825F61A0}"/>
    <cellStyle name="Date" xfId="501" xr:uid="{1D6D425A-9F1E-4838-BE61-6AF35506009F}"/>
    <cellStyle name="Date 10" xfId="502" xr:uid="{25697B4C-7B3E-4359-85E5-EB58B37842AF}"/>
    <cellStyle name="Date 10 10" xfId="503" xr:uid="{F66A42B1-C2FA-4F27-8D76-04AAEC50A6E6}"/>
    <cellStyle name="Date 10 11" xfId="504" xr:uid="{F4558F20-77C7-4611-9880-089C7FAFF705}"/>
    <cellStyle name="Date 10 12" xfId="505" xr:uid="{B5576426-EAF6-4371-ACA3-D9F6AE42EA91}"/>
    <cellStyle name="Date 10 13" xfId="506" xr:uid="{F4E9B34B-7805-4BEF-BB19-8EEB4FE45D27}"/>
    <cellStyle name="Date 10 14" xfId="507" xr:uid="{468DDA06-1287-48BE-8F0E-AE119010BD09}"/>
    <cellStyle name="Date 10 15" xfId="508" xr:uid="{6242B3D9-94AE-49D8-90A0-5382E41E49B3}"/>
    <cellStyle name="Date 10 16" xfId="509" xr:uid="{251926A9-1E4A-4F55-86DD-2810247DC806}"/>
    <cellStyle name="Date 10 17" xfId="510" xr:uid="{0EAB1DDD-CB04-4647-A7B8-16B0063D8A1A}"/>
    <cellStyle name="Date 10 18" xfId="511" xr:uid="{3C31C802-3D5A-4EA8-A785-0808A8900545}"/>
    <cellStyle name="Date 10 19" xfId="512" xr:uid="{2AB53A8B-AC69-43D9-B96F-FD54DC7D74F2}"/>
    <cellStyle name="Date 10 2" xfId="513" xr:uid="{F914D5AE-97C6-4516-A2D1-DF23C34E38E3}"/>
    <cellStyle name="Date 10 20" xfId="514" xr:uid="{8812B928-5B5E-455B-A86F-F8D61F147CE5}"/>
    <cellStyle name="Date 10 21" xfId="515" xr:uid="{B184BFDE-C086-490A-A75E-9E2608483411}"/>
    <cellStyle name="Date 10 22" xfId="516" xr:uid="{F6EBB338-75AF-4A5C-BC15-DFE41EBD6E2A}"/>
    <cellStyle name="Date 10 23" xfId="517" xr:uid="{C7CB456A-D39F-4F2F-AA65-51457BC10CA4}"/>
    <cellStyle name="Date 10 24" xfId="518" xr:uid="{C4D14D59-7EB3-408F-BDC3-1F947CA4716C}"/>
    <cellStyle name="Date 10 25" xfId="519" xr:uid="{0CD44A3C-2106-405F-9600-1C7761F0B904}"/>
    <cellStyle name="Date 10 26" xfId="520" xr:uid="{6C91FB43-A99B-4CFC-8C45-F0C464E8AB1B}"/>
    <cellStyle name="Date 10 3" xfId="521" xr:uid="{30037A93-A4ED-4ACC-8C11-EC40FE4C9F51}"/>
    <cellStyle name="Date 10 4" xfId="522" xr:uid="{E35C40BC-7047-46C7-AEED-2A2BD0BCC375}"/>
    <cellStyle name="Date 10 5" xfId="523" xr:uid="{0AD047E0-A372-4063-9486-5E340658C0B7}"/>
    <cellStyle name="Date 10 6" xfId="524" xr:uid="{3CE49194-BDE5-4D61-B63F-9C0C92AF5D52}"/>
    <cellStyle name="Date 10 7" xfId="525" xr:uid="{5ADDCCBB-6310-482B-8E72-68DEF07604DA}"/>
    <cellStyle name="Date 10 8" xfId="526" xr:uid="{1474D2BC-C3FD-40CB-9DF7-EDCC15FE63E1}"/>
    <cellStyle name="Date 10 9" xfId="527" xr:uid="{1BAF2E35-67AA-43EC-BC9C-6F4BF50AF51F}"/>
    <cellStyle name="Date 11" xfId="528" xr:uid="{D5BD4B0A-E2B0-42F0-A112-B07B2930CDA2}"/>
    <cellStyle name="Date 11 2" xfId="529" xr:uid="{92A9EBE2-EDF1-4A2B-AA0D-471B676229E1}"/>
    <cellStyle name="Date 11 3" xfId="530" xr:uid="{67BB082E-1678-4A6C-9774-BECA9253AA6B}"/>
    <cellStyle name="Date 11 4" xfId="531" xr:uid="{45460C1F-3905-45D4-AA59-4B3FA63C336B}"/>
    <cellStyle name="Date 11 5" xfId="532" xr:uid="{DF43A985-7666-45C8-BE9F-D61CE5CC3649}"/>
    <cellStyle name="Date 11 6" xfId="533" xr:uid="{865CF618-ADEC-4269-8152-5B9B8ADC5C22}"/>
    <cellStyle name="Date 11 7" xfId="534" xr:uid="{0909E78A-5823-4079-AFBC-B215825D8091}"/>
    <cellStyle name="Date 12" xfId="535" xr:uid="{BF1F95E0-2D74-4E4A-893D-C1C93DE5AB3B}"/>
    <cellStyle name="Date 12 2" xfId="536" xr:uid="{09CD4062-39D5-445A-971F-0D3ADA836AAC}"/>
    <cellStyle name="Date 12 2 2" xfId="537" xr:uid="{80A88EAD-D5AE-48EC-AC01-E2B2A13F8E5D}"/>
    <cellStyle name="Date 12 3" xfId="538" xr:uid="{17E94512-A2FE-4F5A-83FE-31E0F20757E5}"/>
    <cellStyle name="Date 12 3 2" xfId="539" xr:uid="{96B07005-4AE5-4062-989D-62F2875F69D8}"/>
    <cellStyle name="Date 12 4" xfId="540" xr:uid="{FCE60C72-B47B-4086-BDED-C2552D158525}"/>
    <cellStyle name="Date 13" xfId="541" xr:uid="{4B64E894-5C6F-42B8-A5B7-3EE610EA464D}"/>
    <cellStyle name="Date 13 2" xfId="542" xr:uid="{340EB30E-99D1-443E-B6F3-C305630176CF}"/>
    <cellStyle name="Date 14" xfId="543" xr:uid="{F8668227-AB89-4B45-A96B-039786BA2480}"/>
    <cellStyle name="Date 14 2" xfId="544" xr:uid="{48AC72FD-F9F4-4D1F-A789-0FA8825640B5}"/>
    <cellStyle name="Date 15" xfId="545" xr:uid="{E02EE239-9B81-4AD9-A01E-ACFF27EDFAFB}"/>
    <cellStyle name="Date 15 2" xfId="546" xr:uid="{A6E8F52B-3C00-410D-921E-BA3DD9876138}"/>
    <cellStyle name="Date 16" xfId="547" xr:uid="{D2CED0B9-7DC5-47D6-9511-1AEC630659FE}"/>
    <cellStyle name="Date 16 2" xfId="548" xr:uid="{C51C0FC0-E6AE-406D-A45D-CA3A9480C04D}"/>
    <cellStyle name="Date 17" xfId="549" xr:uid="{DC6CF353-F9EF-488C-9B1D-9DCEE1BC04ED}"/>
    <cellStyle name="Date 17 2" xfId="550" xr:uid="{8CC6BFD6-732F-44E5-AEAB-492E08D1DF6C}"/>
    <cellStyle name="Date 18" xfId="551" xr:uid="{70BCBB1C-A7B9-4735-8471-6189B6703B96}"/>
    <cellStyle name="Date 19" xfId="552" xr:uid="{96D3EBD6-1952-4C29-893A-BEB7A995CE16}"/>
    <cellStyle name="Date 2" xfId="553" xr:uid="{099E94F8-56CF-468E-9D63-036C115BC57F}"/>
    <cellStyle name="Date 2 2" xfId="554" xr:uid="{89D7CD1B-FBEE-4DBF-8256-980B7A2EB776}"/>
    <cellStyle name="Date 2 2 2" xfId="555" xr:uid="{8B0C6B20-1E8C-4CA6-B7D2-CDCFC5FC0913}"/>
    <cellStyle name="Date 2 3" xfId="556" xr:uid="{66644BCD-5D01-40B1-9DFF-AF1BE478AD0B}"/>
    <cellStyle name="Date 2 3 2" xfId="557" xr:uid="{6F27F0E2-4D20-43CA-9FC1-1348536A1A00}"/>
    <cellStyle name="Date 2 4" xfId="558" xr:uid="{3B03384C-4AA8-47B4-AD6F-73F7CD0AB311}"/>
    <cellStyle name="Date 2 4 2" xfId="559" xr:uid="{663ADFEC-2AEB-4BFB-9FCB-CDB8E5133A8F}"/>
    <cellStyle name="Date 2 5" xfId="560" xr:uid="{77CEA80D-8E94-42D9-A80F-D73ACEA013C4}"/>
    <cellStyle name="Date 2 5 2" xfId="561" xr:uid="{926F2DA4-1DD6-4AE3-808D-0227E25F795F}"/>
    <cellStyle name="Date 2 6" xfId="562" xr:uid="{039F2B78-B1DC-4A4C-8CAC-1044D39E31FB}"/>
    <cellStyle name="Date 2 6 2" xfId="563" xr:uid="{ECF1E8BE-F2A5-45AB-86C7-2E9583239053}"/>
    <cellStyle name="Date 2 7" xfId="564" xr:uid="{CA4644A4-38D9-471B-B1FA-960809CA04C1}"/>
    <cellStyle name="Date 20" xfId="565" xr:uid="{C64E9309-DAD4-4E5A-AEC6-CE07814C079D}"/>
    <cellStyle name="Date 21" xfId="566" xr:uid="{CD371615-6833-46C3-8463-856594A5DC14}"/>
    <cellStyle name="Date 22" xfId="567" xr:uid="{6C9060F6-57F5-4F0C-A328-92CD742BA4E8}"/>
    <cellStyle name="Date 23" xfId="568" xr:uid="{70BA831C-591B-477D-82CF-F402AAF1389F}"/>
    <cellStyle name="Date 24" xfId="569" xr:uid="{A5C1F0C5-6D8E-49C5-BC9C-758BD55686EC}"/>
    <cellStyle name="Date 25" xfId="570" xr:uid="{37891671-E86F-4F46-82E8-9870441EC579}"/>
    <cellStyle name="Date 26" xfId="571" xr:uid="{8CC0B3AD-680B-4D80-A69E-FE500163F03E}"/>
    <cellStyle name="Date 27" xfId="572" xr:uid="{2076A526-66FC-4FDB-8796-4A97B3EE47B7}"/>
    <cellStyle name="Date 28" xfId="573" xr:uid="{41B5A68E-0173-4DA0-8402-E355D3F47959}"/>
    <cellStyle name="Date 29" xfId="574" xr:uid="{80128F61-CE0C-4773-AE1A-5852C87835BB}"/>
    <cellStyle name="Date 3" xfId="575" xr:uid="{2C436DCE-87E6-4387-A876-F8AA9B9D6732}"/>
    <cellStyle name="Date 3 2" xfId="576" xr:uid="{57307186-7B5F-491A-B13C-9D55BA456D16}"/>
    <cellStyle name="Date 30" xfId="577" xr:uid="{E4DC564C-8C20-41AB-9E10-CBD2D178212B}"/>
    <cellStyle name="Date 31" xfId="578" xr:uid="{FB955882-F75B-4F07-99C2-EA5D7D66661C}"/>
    <cellStyle name="Date 31 2" xfId="579" xr:uid="{684994FD-6D68-4E4A-AC8F-549B9AC8A3F7}"/>
    <cellStyle name="Date 31 3" xfId="580" xr:uid="{813AD0D9-C6E3-438C-830A-DB39E238604E}"/>
    <cellStyle name="Date 31 4" xfId="581" xr:uid="{35F0B159-B45F-44F4-9900-AEB36B9AC5F0}"/>
    <cellStyle name="Date 32" xfId="582" xr:uid="{4D9C4313-0872-4780-833C-3DEEFF96386A}"/>
    <cellStyle name="Date 32 2" xfId="583" xr:uid="{EFA359CC-FB30-4947-88BB-F7EBA3172100}"/>
    <cellStyle name="Date 32 3" xfId="584" xr:uid="{5440ACF8-2FB9-43BF-BD47-E29C73F07D5B}"/>
    <cellStyle name="Date 32 4" xfId="585" xr:uid="{9CB49A56-60E5-4416-A2B6-E0D72E8B48E4}"/>
    <cellStyle name="Date 33" xfId="586" xr:uid="{4F939511-FB22-469D-B525-A54AE81018D3}"/>
    <cellStyle name="Date 33 2" xfId="587" xr:uid="{60DA47D8-1A4F-42FB-9E65-267E9B8ACBAF}"/>
    <cellStyle name="Date 33 3" xfId="588" xr:uid="{06EC2FE3-65DA-4835-B6D8-D75725635212}"/>
    <cellStyle name="Date 34" xfId="589" xr:uid="{867F7FB2-1081-46F2-9B93-9E60B7A7EF77}"/>
    <cellStyle name="Date 34 2" xfId="590" xr:uid="{39618CCE-D95A-4F7B-AA3D-9C269B05DC32}"/>
    <cellStyle name="Date 35" xfId="591" xr:uid="{A21002C0-2159-493E-B1BC-24A5AF5F5943}"/>
    <cellStyle name="Date 35 2" xfId="592" xr:uid="{665353FA-77DB-4D0A-89F0-312CEFA1A3F1}"/>
    <cellStyle name="Date 36" xfId="593" xr:uid="{DC142242-B718-4BC9-A677-E4865FA65A13}"/>
    <cellStyle name="Date 36 2" xfId="594" xr:uid="{9A0B294D-09D8-48C7-9C47-B400E282AC06}"/>
    <cellStyle name="Date 37" xfId="595" xr:uid="{89CF6B83-B7A5-4382-BBA5-1D1A1C2CF652}"/>
    <cellStyle name="Date 38" xfId="596" xr:uid="{BD6EEEE0-882D-4B49-9FFB-7BB3EE0918F8}"/>
    <cellStyle name="Date 39" xfId="597" xr:uid="{89CF53C5-0026-4051-919C-8BFE762604E5}"/>
    <cellStyle name="Date 4" xfId="598" xr:uid="{691867E5-8293-4393-97DC-A39BD05A66EC}"/>
    <cellStyle name="Date 4 2" xfId="599" xr:uid="{2CF02486-CA17-4603-A40E-3F359B68C0DF}"/>
    <cellStyle name="Date 4 2 2" xfId="600" xr:uid="{96AC3773-7B25-44AF-88F0-702FDA2497E6}"/>
    <cellStyle name="Date 4 3" xfId="601" xr:uid="{62594180-828E-4205-A67C-F3170CEE3FD9}"/>
    <cellStyle name="Date 40" xfId="602" xr:uid="{07ADB156-51D0-4DC0-886B-F37A4B48CF8A}"/>
    <cellStyle name="Date 41" xfId="603" xr:uid="{0E966372-050B-4C68-B996-4E6E39395E8C}"/>
    <cellStyle name="Date 42" xfId="604" xr:uid="{60A26441-FD4E-49A7-A182-0977F757A378}"/>
    <cellStyle name="Date 42 2" xfId="605" xr:uid="{3D7D08D4-EB04-4865-A4AF-81FE9F9A3CDA}"/>
    <cellStyle name="Date 43" xfId="606" xr:uid="{9016640C-34CC-45BD-BDD4-AD050D93556E}"/>
    <cellStyle name="Date 5" xfId="607" xr:uid="{DB6F6323-1AF5-4135-99CE-842D803D9E73}"/>
    <cellStyle name="Date 5 2" xfId="608" xr:uid="{7D3D7AE2-73F2-43E6-8842-DFA79405281B}"/>
    <cellStyle name="Date 6" xfId="609" xr:uid="{D502611B-9111-4F61-B615-5BCDD9610364}"/>
    <cellStyle name="Date 6 2" xfId="610" xr:uid="{C49E3C7F-6ABE-4152-9792-718316663A2A}"/>
    <cellStyle name="Date 7" xfId="611" xr:uid="{196D8805-D880-42C6-9BDD-06F5D3539CDE}"/>
    <cellStyle name="Date 7 2" xfId="612" xr:uid="{4AD52A34-E221-4040-BA7C-51EDE6E0CC90}"/>
    <cellStyle name="Date 8" xfId="613" xr:uid="{1FD69BBA-AD5F-477B-B853-A4F2333E03B4}"/>
    <cellStyle name="Date 8 2" xfId="614" xr:uid="{473BAB89-9242-4509-8044-703906A3589F}"/>
    <cellStyle name="Date 9" xfId="615" xr:uid="{D07C2B6A-40D8-4CFB-89C8-697419E286FB}"/>
    <cellStyle name="Date 9 2" xfId="616" xr:uid="{90142E18-6210-48B4-8C51-4D7A2AE3F295}"/>
    <cellStyle name="Date 9 2 2" xfId="617" xr:uid="{57393049-F375-4F88-A6D0-2088CBF37FB8}"/>
    <cellStyle name="Date 9 3" xfId="618" xr:uid="{8D404CF6-16FA-40CA-85DD-A3ACEAF5EECA}"/>
    <cellStyle name="Date 9 3 2" xfId="619" xr:uid="{65F37F83-7F17-479C-AC4E-BFFC57E08099}"/>
    <cellStyle name="Date 9 4" xfId="620" xr:uid="{8733E1DE-250C-49D4-8D9C-2CABEF10A314}"/>
    <cellStyle name="Date 9 4 2" xfId="621" xr:uid="{D9F06890-ABF3-4948-89D9-87A5C0DFA518}"/>
    <cellStyle name="Date 9 5" xfId="622" xr:uid="{B85B9F06-ED3D-49E6-AF57-38820C706516}"/>
    <cellStyle name="Entered" xfId="623" xr:uid="{D982FE05-CD85-490A-92E9-525C994AA4BD}"/>
    <cellStyle name="Fixed" xfId="624" xr:uid="{70D0ED1F-4CB4-4844-80A4-1A9368EE113E}"/>
    <cellStyle name="Fixed 10" xfId="625" xr:uid="{50BA2957-7729-463D-A272-4EC51BE63BA7}"/>
    <cellStyle name="Fixed 10 10" xfId="626" xr:uid="{83532E40-C083-44BC-A6B6-C78D4C02F4D9}"/>
    <cellStyle name="Fixed 10 11" xfId="627" xr:uid="{424E4833-31CB-4646-B7F1-20830A3A837C}"/>
    <cellStyle name="Fixed 10 12" xfId="628" xr:uid="{29CE9586-15DB-4F04-87F1-96F8C0E59969}"/>
    <cellStyle name="Fixed 10 13" xfId="629" xr:uid="{2B6073B8-852A-463D-92B5-2A3164C400DA}"/>
    <cellStyle name="Fixed 10 14" xfId="630" xr:uid="{3B651ECC-C795-45AE-A87B-14723E60F4BF}"/>
    <cellStyle name="Fixed 10 15" xfId="631" xr:uid="{11ED6693-9E49-4398-9B93-142D9EC7714A}"/>
    <cellStyle name="Fixed 10 16" xfId="632" xr:uid="{5936838F-ED46-446D-946B-CE5852F869E7}"/>
    <cellStyle name="Fixed 10 17" xfId="633" xr:uid="{B13EA835-E5F9-4059-864A-FEFE69DBE910}"/>
    <cellStyle name="Fixed 10 18" xfId="634" xr:uid="{4B127522-FC86-4891-ADFE-4FE0EC752592}"/>
    <cellStyle name="Fixed 10 19" xfId="635" xr:uid="{E4A6D25B-32F6-4E8F-A40E-853982EAA260}"/>
    <cellStyle name="Fixed 10 2" xfId="636" xr:uid="{A5E9DA49-C102-4025-90EA-F8F72193F267}"/>
    <cellStyle name="Fixed 10 20" xfId="637" xr:uid="{7F18685C-9C7A-425F-AAE9-E1996D3BAB5F}"/>
    <cellStyle name="Fixed 10 21" xfId="638" xr:uid="{1BD1FCFF-F739-4051-9F00-AAB74D79479D}"/>
    <cellStyle name="Fixed 10 22" xfId="639" xr:uid="{18306CAE-AABE-4299-85F5-A62BB6028CF2}"/>
    <cellStyle name="Fixed 10 23" xfId="640" xr:uid="{AAD682D2-8E09-4054-B047-28486A19E3D5}"/>
    <cellStyle name="Fixed 10 24" xfId="641" xr:uid="{7EB850B8-37E3-4CB9-BF5D-5B5EB5AC17CF}"/>
    <cellStyle name="Fixed 10 25" xfId="642" xr:uid="{04350310-8317-4471-9FAB-010B2CDEAA1D}"/>
    <cellStyle name="Fixed 10 26" xfId="643" xr:uid="{ADB7AF01-8889-46A6-8AAE-C5419DBEAD3D}"/>
    <cellStyle name="Fixed 10 3" xfId="644" xr:uid="{8E9DC1D5-459F-4913-A588-78E02F9F2916}"/>
    <cellStyle name="Fixed 10 4" xfId="645" xr:uid="{45C1F6F9-BB82-4CE6-9EBB-44531108CF2A}"/>
    <cellStyle name="Fixed 10 5" xfId="646" xr:uid="{48A4BC19-3E46-45FD-A3C8-D55584089E30}"/>
    <cellStyle name="Fixed 10 6" xfId="647" xr:uid="{C378B7BE-0ABF-4231-B578-D6771824DE1F}"/>
    <cellStyle name="Fixed 10 7" xfId="648" xr:uid="{01ECDBE4-A286-4ED2-8D6B-66C7DA3254EA}"/>
    <cellStyle name="Fixed 10 8" xfId="649" xr:uid="{4865CEB4-B0F1-4EBE-89A5-E21293FC1ABA}"/>
    <cellStyle name="Fixed 10 9" xfId="650" xr:uid="{7E768372-D8A0-4CCF-952D-0C65A3846DCF}"/>
    <cellStyle name="Fixed 11" xfId="651" xr:uid="{E974570D-8305-4A5D-A884-E6104ADF5EB2}"/>
    <cellStyle name="Fixed 11 2" xfId="652" xr:uid="{21309BA3-054F-4605-9716-61A5BE2A33F4}"/>
    <cellStyle name="Fixed 11 3" xfId="653" xr:uid="{63854A54-9ADF-4B4E-87D2-0D0308C08756}"/>
    <cellStyle name="Fixed 11 4" xfId="654" xr:uid="{4AB1A08D-5E97-4380-A088-5B97110E954B}"/>
    <cellStyle name="Fixed 11 5" xfId="655" xr:uid="{36193959-BA9E-4038-9A72-6F17C1AAC8EF}"/>
    <cellStyle name="Fixed 11 6" xfId="656" xr:uid="{84253BDB-73D9-42B0-BD79-C5F8C2D48509}"/>
    <cellStyle name="Fixed 11 7" xfId="657" xr:uid="{4BBB01B0-7427-48E8-B41F-33EEEE99E286}"/>
    <cellStyle name="Fixed 12" xfId="658" xr:uid="{2FD78FFF-796A-46A5-972C-189ADFBDB832}"/>
    <cellStyle name="Fixed 12 2" xfId="659" xr:uid="{DD090D7C-A8DE-44D5-92BD-A08142CEE004}"/>
    <cellStyle name="Fixed 12 2 2" xfId="660" xr:uid="{B28883A8-E9AA-468A-B115-B1048953DC08}"/>
    <cellStyle name="Fixed 12 3" xfId="661" xr:uid="{1C6E0739-09EE-4FF2-A3F6-3878EF814CC8}"/>
    <cellStyle name="Fixed 12 3 2" xfId="662" xr:uid="{5E70B6B1-477C-48DA-8E8C-300D92D21232}"/>
    <cellStyle name="Fixed 12 4" xfId="663" xr:uid="{49BF0D42-91D3-47B1-8360-E81B90D31169}"/>
    <cellStyle name="Fixed 13" xfId="664" xr:uid="{AF6298E7-84B1-4369-B49D-B6C0E38096B7}"/>
    <cellStyle name="Fixed 13 2" xfId="665" xr:uid="{66C98971-BAC1-4BEA-8BB4-F27422EF1FF3}"/>
    <cellStyle name="Fixed 14" xfId="666" xr:uid="{DA27A779-1346-4D23-B926-D14F4A619BDE}"/>
    <cellStyle name="Fixed 14 2" xfId="667" xr:uid="{EE850C72-907E-4D48-ACD7-26B14DCB4E9E}"/>
    <cellStyle name="Fixed 15" xfId="668" xr:uid="{7EFAD40C-937D-4376-8BC3-BD089F8311C5}"/>
    <cellStyle name="Fixed 15 2" xfId="669" xr:uid="{9697D673-0909-461E-8DE9-9C38E647BEDD}"/>
    <cellStyle name="Fixed 16" xfId="670" xr:uid="{38045E8D-7966-49EC-A2D2-9ED2277BFB86}"/>
    <cellStyle name="Fixed 16 2" xfId="671" xr:uid="{B88E51EA-9929-4CAF-ACC4-0F5E31B5800A}"/>
    <cellStyle name="Fixed 17" xfId="672" xr:uid="{66042278-5615-4D34-A4D1-8C399096E125}"/>
    <cellStyle name="Fixed 17 2" xfId="673" xr:uid="{B638733C-AD4C-456F-BE47-4EDF2C880E5D}"/>
    <cellStyle name="Fixed 18" xfId="674" xr:uid="{1CD04CE2-BCFB-4C2F-AD2B-7F862E6C936D}"/>
    <cellStyle name="Fixed 19" xfId="675" xr:uid="{FB000F44-34BA-47E9-82FC-2F1A0BF5EE52}"/>
    <cellStyle name="Fixed 2" xfId="676" xr:uid="{46E5E609-DF59-4AD4-8FD3-F6CF52C5DA68}"/>
    <cellStyle name="Fixed 2 2" xfId="677" xr:uid="{7ED85B36-D0D8-4209-B40C-59DF7A876165}"/>
    <cellStyle name="Fixed 2 2 2" xfId="678" xr:uid="{8B731527-8FEC-42C5-AD27-48AE073F2CD3}"/>
    <cellStyle name="Fixed 2 3" xfId="679" xr:uid="{6883C8B5-15C1-45BC-909B-10E34892165C}"/>
    <cellStyle name="Fixed 2 3 2" xfId="680" xr:uid="{4BE69AAC-71FB-4989-816D-03412BEC9250}"/>
    <cellStyle name="Fixed 2 4" xfId="681" xr:uid="{0F51C40A-B0F1-4D64-9B0F-C509D103BF88}"/>
    <cellStyle name="Fixed 2 4 2" xfId="682" xr:uid="{469407EE-0865-468A-AB21-F265D822441B}"/>
    <cellStyle name="Fixed 2 5" xfId="683" xr:uid="{2676DAD9-679D-4163-AC43-76C9FA21E16A}"/>
    <cellStyle name="Fixed 2 5 2" xfId="684" xr:uid="{A95EF633-3DA1-44A7-B81D-F6F4D4E6A987}"/>
    <cellStyle name="Fixed 2 6" xfId="685" xr:uid="{77DD0BFE-732D-4C43-A9CB-7621E39D0311}"/>
    <cellStyle name="Fixed 2 6 2" xfId="686" xr:uid="{56E37B9A-1FA7-494E-AB59-EEAD6924D417}"/>
    <cellStyle name="Fixed 2 7" xfId="687" xr:uid="{3D65033C-7757-4950-80B2-9392A2BCB05A}"/>
    <cellStyle name="Fixed 20" xfId="688" xr:uid="{52A6ED7B-D9E5-4F7A-8723-74B2CA45E26E}"/>
    <cellStyle name="Fixed 21" xfId="689" xr:uid="{EA230848-B072-4880-9BC0-092556501220}"/>
    <cellStyle name="Fixed 22" xfId="690" xr:uid="{EC978F71-3A86-4258-97E2-7C365A72F8D1}"/>
    <cellStyle name="Fixed 23" xfId="691" xr:uid="{71E36624-AA7D-454B-B02F-CEFCAFAEC6AE}"/>
    <cellStyle name="Fixed 24" xfId="692" xr:uid="{A26FA937-824B-4D8B-BFF7-4B85FC8E3E16}"/>
    <cellStyle name="Fixed 25" xfId="693" xr:uid="{B90D39A8-74B4-459C-A3AF-4D9F41532126}"/>
    <cellStyle name="Fixed 26" xfId="694" xr:uid="{2E24D0D1-D515-4D9E-8EFE-140D27E47251}"/>
    <cellStyle name="Fixed 27" xfId="695" xr:uid="{80792CF9-2E39-4EB4-B129-B72742BBC024}"/>
    <cellStyle name="Fixed 28" xfId="696" xr:uid="{C5D4FFFA-7ACB-4F7F-8F17-D36E790F6079}"/>
    <cellStyle name="Fixed 29" xfId="697" xr:uid="{784748A0-9F17-4D15-A2DC-E424B625B5D6}"/>
    <cellStyle name="Fixed 3" xfId="698" xr:uid="{212A7EA8-2B54-4EA1-8E3C-88FD46708C8D}"/>
    <cellStyle name="Fixed 3 2" xfId="699" xr:uid="{E48CF96D-EA84-40CC-9DAE-AF17A42010EA}"/>
    <cellStyle name="Fixed 30" xfId="700" xr:uid="{12909E28-B30C-43AB-9929-99780240779B}"/>
    <cellStyle name="Fixed 31" xfId="701" xr:uid="{26E83ABA-E88F-461C-82F8-EFD57329B602}"/>
    <cellStyle name="Fixed 31 2" xfId="702" xr:uid="{DA419BC4-5FC0-48EB-8462-0C6EE817C149}"/>
    <cellStyle name="Fixed 31 3" xfId="703" xr:uid="{CF524F98-1FA4-41EE-9CFE-B1217C02DFF4}"/>
    <cellStyle name="Fixed 31 4" xfId="704" xr:uid="{9848B913-2523-42A8-9417-367261E405D8}"/>
    <cellStyle name="Fixed 32" xfId="705" xr:uid="{2CC561AF-78A9-464E-A536-14AB64B78CF7}"/>
    <cellStyle name="Fixed 32 2" xfId="706" xr:uid="{814F2139-0B93-4E6B-A761-ED6B4FDA8C24}"/>
    <cellStyle name="Fixed 32 3" xfId="707" xr:uid="{A0842CEE-5543-4974-96A6-7094270FEAE6}"/>
    <cellStyle name="Fixed 32 4" xfId="708" xr:uid="{03AC06BC-3326-41F4-9230-1C98A462781B}"/>
    <cellStyle name="Fixed 33" xfId="709" xr:uid="{88C42430-7C63-4AE6-AA2A-88C5136297D1}"/>
    <cellStyle name="Fixed 33 2" xfId="710" xr:uid="{005C6AC7-7292-4250-B3CA-B6DA038B848D}"/>
    <cellStyle name="Fixed 33 3" xfId="711" xr:uid="{9497829F-95C1-4883-B6D0-78B0DE7DABE2}"/>
    <cellStyle name="Fixed 34" xfId="712" xr:uid="{CA273D05-FCA0-4F57-8071-2FC83FA53ACC}"/>
    <cellStyle name="Fixed 34 2" xfId="713" xr:uid="{8B8084E1-9686-41CD-B436-7E3A9BFBB54F}"/>
    <cellStyle name="Fixed 35" xfId="714" xr:uid="{C18BE0CD-CEB1-4C0E-927D-F7C04D22D598}"/>
    <cellStyle name="Fixed 35 2" xfId="715" xr:uid="{C05C568B-1F6A-45B2-A6A9-5E88B18D4395}"/>
    <cellStyle name="Fixed 36" xfId="716" xr:uid="{2027A86E-8F1E-437A-BB0F-BB8DC37604C5}"/>
    <cellStyle name="Fixed 36 2" xfId="717" xr:uid="{8FDC2341-6AC3-4E19-888B-68397D460177}"/>
    <cellStyle name="Fixed 37" xfId="718" xr:uid="{E73134B6-7F9F-45BE-A930-FFC15C7B2D67}"/>
    <cellStyle name="Fixed 38" xfId="719" xr:uid="{BCE0684A-CEAE-43C6-AA0A-66D9F69D51EF}"/>
    <cellStyle name="Fixed 39" xfId="720" xr:uid="{A9E66316-F2D8-4DE0-8951-3048428D4E5A}"/>
    <cellStyle name="Fixed 4" xfId="721" xr:uid="{CFC9D0AC-1C4A-4977-B057-12F0E204BB67}"/>
    <cellStyle name="Fixed 4 2" xfId="722" xr:uid="{245F21C7-90F7-4317-BA34-AA63C08DEF3A}"/>
    <cellStyle name="Fixed 4 2 2" xfId="723" xr:uid="{B208F2AA-A1C0-47B4-AC33-BA65C0E3D37B}"/>
    <cellStyle name="Fixed 4 3" xfId="724" xr:uid="{643F74FC-6964-49B7-94B2-8697B354B0AA}"/>
    <cellStyle name="Fixed 40" xfId="725" xr:uid="{71A44CE5-A9DC-4AB0-A47E-6B9632B3F44B}"/>
    <cellStyle name="Fixed 41" xfId="726" xr:uid="{478AABD6-E040-4FE3-9EDD-BD6C6CDB13D6}"/>
    <cellStyle name="Fixed 42" xfId="727" xr:uid="{342D5C77-7C90-466D-B65A-DBB82D0D8DFE}"/>
    <cellStyle name="Fixed 42 2" xfId="728" xr:uid="{631BA748-E582-4A35-A8F9-A5259541A16E}"/>
    <cellStyle name="Fixed 43" xfId="729" xr:uid="{864C36C3-3C1B-4ACC-9B23-04C8B0AFC0A1}"/>
    <cellStyle name="Fixed 5" xfId="730" xr:uid="{C4F8FF8F-4866-474B-AAEC-915A64D2E64A}"/>
    <cellStyle name="Fixed 5 2" xfId="731" xr:uid="{5F417515-F4AB-4BAB-AE30-03FD75C663F7}"/>
    <cellStyle name="Fixed 6" xfId="732" xr:uid="{8C6341B3-A0B8-4BC1-875B-A22FF4AF3647}"/>
    <cellStyle name="Fixed 6 2" xfId="733" xr:uid="{F52195A5-8E17-42E7-94A2-08C9ABB1143C}"/>
    <cellStyle name="Fixed 7" xfId="734" xr:uid="{0BB140D6-9C3D-4EA4-8E3A-3C422F503FA8}"/>
    <cellStyle name="Fixed 7 2" xfId="735" xr:uid="{62C612F6-F8F7-48F1-99EF-2A70EEA3B918}"/>
    <cellStyle name="Fixed 8" xfId="736" xr:uid="{DEC3FF8E-89C9-4820-A175-94FD72B3C2B3}"/>
    <cellStyle name="Fixed 8 2" xfId="737" xr:uid="{DE208257-127F-470D-B728-79A5B179CCFF}"/>
    <cellStyle name="Fixed 9" xfId="738" xr:uid="{F233FB95-7F04-4A4C-83CD-CFD8B7F7D6B0}"/>
    <cellStyle name="Fixed 9 2" xfId="739" xr:uid="{E5D107CB-A252-4614-B784-AA49BB4BDBD6}"/>
    <cellStyle name="Fixed 9 2 2" xfId="740" xr:uid="{1C9E8008-80C3-48CB-A63C-4838BFF02187}"/>
    <cellStyle name="Fixed 9 3" xfId="741" xr:uid="{3EE3ED2B-1FFE-4A20-BD8E-73F5FFAB6637}"/>
    <cellStyle name="Fixed 9 3 2" xfId="742" xr:uid="{14E11FCD-52E4-4252-9B2A-E8BE15F8EC60}"/>
    <cellStyle name="Fixed 9 4" xfId="743" xr:uid="{757C88CE-7319-486E-90C4-4C4AA07861B7}"/>
    <cellStyle name="Fixed 9 4 2" xfId="744" xr:uid="{85333E91-89C2-475F-A4A6-FD54E7BEDFE2}"/>
    <cellStyle name="Fixed 9 5" xfId="745" xr:uid="{C1E8EC56-419E-4795-9D84-5AC86B6C1B06}"/>
    <cellStyle name="-Footnote_&amp;_Source" xfId="746" xr:uid="{C79FA269-0026-436A-9B34-AA2BD578F4B6}"/>
    <cellStyle name="Grey" xfId="747" xr:uid="{FCE7F10D-6A20-4E5E-AC42-BE136B8AC46D}"/>
    <cellStyle name="Header1" xfId="748" xr:uid="{018FBE49-9B35-4901-98AB-9EE4838B7530}"/>
    <cellStyle name="Header2" xfId="749" xr:uid="{1B3E26B9-1464-4E33-B88E-3E45D35417A8}"/>
    <cellStyle name="Heading 1 10" xfId="750" xr:uid="{807EE2ED-0073-45A3-94D5-B445A7F307BC}"/>
    <cellStyle name="Heading 1 2" xfId="751" xr:uid="{D2112734-2B19-46A5-9951-5DE18ADA5AC9}"/>
    <cellStyle name="Heading 1 2 2" xfId="752" xr:uid="{4C750549-0F09-4F34-809C-D3C984926302}"/>
    <cellStyle name="Heading 1 2 3" xfId="753" xr:uid="{67E28106-A14F-4A3F-A76F-FD8A03E839AC}"/>
    <cellStyle name="Heading 1 2 4" xfId="754" xr:uid="{1E8D5D87-6A97-4BBC-9C78-EC9413E30F5E}"/>
    <cellStyle name="Heading 1 2 5" xfId="755" xr:uid="{11C84670-5295-43A8-843C-283304110062}"/>
    <cellStyle name="Heading 1 2 6" xfId="756" xr:uid="{7C3F2CB2-6C7C-408A-B402-2DAADDE73474}"/>
    <cellStyle name="Heading 1 3" xfId="757" xr:uid="{F9F117E7-538A-44AD-957C-87A1BEB838D8}"/>
    <cellStyle name="Heading 1 4" xfId="758" xr:uid="{49E48039-6628-45D9-BAF8-0ABDAC6D85C9}"/>
    <cellStyle name="Heading 1 5" xfId="759" xr:uid="{FA425756-165E-4DDA-A396-60A0694A7864}"/>
    <cellStyle name="Heading 1 6" xfId="760" xr:uid="{DB668FE1-8731-4FB1-9555-A8F39F43A508}"/>
    <cellStyle name="Heading 1 7" xfId="761" xr:uid="{B9B7E13D-E033-4179-9225-CEE5248F76CC}"/>
    <cellStyle name="Heading 1 8" xfId="762" xr:uid="{075D109E-1074-4A4E-91F2-A9B533ED4942}"/>
    <cellStyle name="Heading 1 9" xfId="763" xr:uid="{77003588-82F2-48F8-8B7A-AAFAD95A0345}"/>
    <cellStyle name="Heading 2 10" xfId="764" xr:uid="{B4BA7671-F809-4FB2-B0F7-0A2A8CA82FAD}"/>
    <cellStyle name="Heading 2 2" xfId="765" xr:uid="{E9C0E035-6E3E-4258-9B50-989773080800}"/>
    <cellStyle name="Heading 2 2 2" xfId="766" xr:uid="{1D4DE29B-42FA-40C4-B39C-95D502FB5598}"/>
    <cellStyle name="Heading 2 2 3" xfId="767" xr:uid="{8E7ADCF6-FC9E-48A4-B358-F2BA2C2F0614}"/>
    <cellStyle name="Heading 2 2 4" xfId="768" xr:uid="{6F3D4070-DDDD-4AE3-96F9-560BA381F757}"/>
    <cellStyle name="Heading 2 2 5" xfId="769" xr:uid="{479325BB-0ADA-4D59-820C-A405CDCC89CF}"/>
    <cellStyle name="Heading 2 2 6" xfId="770" xr:uid="{D291B144-4960-4FEC-814E-65EB7E671FD9}"/>
    <cellStyle name="Heading 2 3" xfId="771" xr:uid="{0F0124CD-1792-422C-84A4-D68632EB4389}"/>
    <cellStyle name="Heading 2 4" xfId="772" xr:uid="{CF8635BE-47E0-4870-AF6A-FBDC63EC5819}"/>
    <cellStyle name="Heading 2 5" xfId="773" xr:uid="{B5CB34F9-9955-4B5A-BE67-71CC9FEACFF7}"/>
    <cellStyle name="Heading 2 6" xfId="774" xr:uid="{4780EFCC-5149-43BE-B618-B621A77D3F4F}"/>
    <cellStyle name="Heading 2 7" xfId="775" xr:uid="{BA0D9A9B-3FCB-4651-BE7D-C526B09E7613}"/>
    <cellStyle name="Heading 2 8" xfId="776" xr:uid="{E9DA6E36-6B35-48A1-BF15-D1501F999C79}"/>
    <cellStyle name="Heading 2 9" xfId="777" xr:uid="{01481D44-6F21-49F9-8548-67CEE5A48343}"/>
    <cellStyle name="Hyperlink 2" xfId="778" xr:uid="{FB85B277-CBB6-4BF8-AC6E-A0A91A79BA1D}"/>
    <cellStyle name="InfoDataColumn" xfId="779" xr:uid="{A7D6C48A-CBD1-4AF4-BBDF-9EC975302628}"/>
    <cellStyle name="InfoDataRow" xfId="780" xr:uid="{7959F032-34F1-4E58-8DF4-51D74024B1D3}"/>
    <cellStyle name="InfoLabelColumn" xfId="781" xr:uid="{387DC3EC-4F73-4E20-AEA8-E75790B0684B}"/>
    <cellStyle name="InfoLabelRow" xfId="782" xr:uid="{38FA440E-C793-45EE-8251-23B841C79B0A}"/>
    <cellStyle name="InfolDataColumn" xfId="783" xr:uid="{8FB4C88B-9762-48BC-8CF6-904A248BD956}"/>
    <cellStyle name="InformationalData" xfId="784" xr:uid="{69FFF708-A58B-4E02-90DB-6E3C2CD0598D}"/>
    <cellStyle name="InformationalLabel" xfId="785" xr:uid="{24D4DEB0-BE80-4EBE-B067-CF49988D27F7}"/>
    <cellStyle name="InformationalLabelTop" xfId="786" xr:uid="{942317A0-FAF2-4C3A-A891-FF40837FA02F}"/>
    <cellStyle name="InputData" xfId="787" xr:uid="{48D8AD6F-8E96-47C3-93E8-B6C4BE3AE731}"/>
    <cellStyle name="InputDataColumn" xfId="788" xr:uid="{44949E82-805B-433B-8AC5-AD1D10859326}"/>
    <cellStyle name="InputDataRow" xfId="789" xr:uid="{067ABC1A-59D7-4A98-B3C4-5D1370639365}"/>
    <cellStyle name="InputLabel" xfId="790" xr:uid="{1D3293EF-AC4B-417E-9B32-0CDA6076AAC6}"/>
    <cellStyle name="InputLabelColumn" xfId="791" xr:uid="{24557A4F-0298-4A35-8524-4F79222B844A}"/>
    <cellStyle name="InputLabelRow" xfId="792" xr:uid="{DFC44DB7-F475-4A50-8F34-90A41AB9F5FE}"/>
    <cellStyle name="InputLabelTop" xfId="793" xr:uid="{C14A4B8E-C61C-4E54-A977-E189B31B2D7A}"/>
    <cellStyle name="IntermediateData" xfId="794" xr:uid="{D9079B7A-7BB3-40C9-BDDC-1C8163F642BE}"/>
    <cellStyle name="IntermediateDataColumn" xfId="795" xr:uid="{3E52B8EF-9B5D-4EAD-A005-EC491EAE5CD1}"/>
    <cellStyle name="IntermediateDataColumn 2" xfId="796" xr:uid="{57B5B272-D590-403A-8A06-FD8798D33E49}"/>
    <cellStyle name="IntermediateDataColumn 3" xfId="797" xr:uid="{FD9668E1-6E4A-45C7-AD28-1B56DC9FBDDE}"/>
    <cellStyle name="IntermediateDataColumn 4" xfId="798" xr:uid="{95E55628-202C-4402-9ACD-6800DE0557B2}"/>
    <cellStyle name="IntermediateDataRow" xfId="799" xr:uid="{C4B05879-6F16-410B-8C8E-6261CFDC1FD2}"/>
    <cellStyle name="IntermediateLabel" xfId="800" xr:uid="{50DCF925-F96D-4060-A626-A3C838B12431}"/>
    <cellStyle name="IntermediateLabelColumn" xfId="801" xr:uid="{3A4A39B9-FBD4-4B92-A073-B398D6D8FAAB}"/>
    <cellStyle name="IntermediateLabelRow" xfId="802" xr:uid="{B6239B5E-925C-482A-AD31-1A9B743731F2}"/>
    <cellStyle name="InvalidCell" xfId="803" xr:uid="{81A4DF36-8C3D-4BA8-8C3F-181742122A42}"/>
    <cellStyle name="NewSheet" xfId="804" xr:uid="{0479617A-393B-4CFE-9026-0390A9CD29DA}"/>
    <cellStyle name="NewSheet 10" xfId="805" xr:uid="{D53E5781-4EB7-4308-A436-B27818DAF175}"/>
    <cellStyle name="NewSheet 2" xfId="806" xr:uid="{A4EA5C1F-FD0E-4328-A759-ABEEC23F0D4E}"/>
    <cellStyle name="NewSheet 2 2" xfId="807" xr:uid="{F63A2327-C35D-4291-AA6C-B423CFBFFAE2}"/>
    <cellStyle name="NewSheet 2 3" xfId="808" xr:uid="{84EE14D0-21BC-4296-85D5-DA6B7FD51769}"/>
    <cellStyle name="NewSheet 2 4" xfId="809" xr:uid="{EF8D6CFA-D04E-4858-8291-1588FBB20D17}"/>
    <cellStyle name="NewSheet 2 5" xfId="810" xr:uid="{CBE544C5-147F-4258-A639-229B21C9CA46}"/>
    <cellStyle name="NewSheet 2 6" xfId="811" xr:uid="{B123B81C-03FB-4A39-93ED-4E89669FEAF6}"/>
    <cellStyle name="NewSheet 3" xfId="812" xr:uid="{694F0074-431D-4C05-B4E9-DE15EF788379}"/>
    <cellStyle name="NewSheet 4" xfId="813" xr:uid="{6328D952-E3F7-44F5-AAAB-77189ECE53F4}"/>
    <cellStyle name="NewSheet 4 2" xfId="814" xr:uid="{E9238101-22A4-42C7-BC2A-209988307036}"/>
    <cellStyle name="NewSheet 5" xfId="815" xr:uid="{0AB433FB-CB45-44A9-885B-A91EF8815A47}"/>
    <cellStyle name="NewSheet 6" xfId="816" xr:uid="{12A31F3F-4261-45F1-B416-43F9F536739D}"/>
    <cellStyle name="NewSheet 7" xfId="817" xr:uid="{52F28D0B-61F4-42A2-BB43-BD2223591BBC}"/>
    <cellStyle name="NewSheet 8" xfId="818" xr:uid="{3159EB6D-7D84-4E7D-98C7-13BA84CC19C4}"/>
    <cellStyle name="NewSheet 9" xfId="819" xr:uid="{DBB20359-0DF7-45A8-A2B9-C97F5B1B4FB7}"/>
    <cellStyle name="Normal" xfId="0" builtinId="0"/>
    <cellStyle name="Normal - Style1" xfId="820" xr:uid="{1F51945E-9A76-4EB0-B030-7FA515378F7D}"/>
    <cellStyle name="Normal 10" xfId="821" xr:uid="{43F6D2F7-CD16-4EA9-B3AB-F7B6F8C3B216}"/>
    <cellStyle name="Normal 10 2" xfId="822" xr:uid="{4AE69E11-858D-412C-A2B2-73B125E5206B}"/>
    <cellStyle name="Normal 10 3" xfId="823" xr:uid="{3EFACE56-5232-4D9E-9937-B7372E14816E}"/>
    <cellStyle name="Normal 10 5 2 2" xfId="824" xr:uid="{368668B7-B203-45EA-A386-D3E79E085059}"/>
    <cellStyle name="Normal 11" xfId="825" xr:uid="{ACC9B8D4-D4B4-43E6-A47D-029077285E91}"/>
    <cellStyle name="Normal 12" xfId="826" xr:uid="{EDD222D9-A3CC-40AC-9009-8628334A83A8}"/>
    <cellStyle name="Normal 13" xfId="827" xr:uid="{A5342CC8-A5A5-4FA1-A2CB-A1033E2EBA45}"/>
    <cellStyle name="Normal 14" xfId="828" xr:uid="{DCBEC26F-11D8-42D2-8FF6-FD898FCF1164}"/>
    <cellStyle name="Normal 15" xfId="829" xr:uid="{AED8DF10-F3CB-4B7B-B509-6E0DB69BFC66}"/>
    <cellStyle name="Normal 16" xfId="3" xr:uid="{EF4224DB-45BB-4F6B-8628-1B9135F81AE5}"/>
    <cellStyle name="Normal 2" xfId="830" xr:uid="{2D753EF7-7F58-47D0-BB46-888B6B4B75FC}"/>
    <cellStyle name="Normal 2 2" xfId="831" xr:uid="{BE2BA300-F021-40CE-B395-CD25AC8258FE}"/>
    <cellStyle name="Normal 2 2 2" xfId="832" xr:uid="{9FA9982D-0149-4E81-9745-A820C13B9C26}"/>
    <cellStyle name="Normal 2 2 2 2" xfId="5" xr:uid="{A16BCB88-BB3E-4139-8347-844BFC29A8FA}"/>
    <cellStyle name="Normal 2 2 3" xfId="833" xr:uid="{75DD4CB7-2EBB-4579-9291-579A2A37583F}"/>
    <cellStyle name="Normal 2 2 4" xfId="834" xr:uid="{802EE3A1-D8F6-487C-8FDB-0CB0A2A91287}"/>
    <cellStyle name="Normal 2 2 5" xfId="835" xr:uid="{2F670F36-61E5-4000-A8CF-B6EDFB70DDE7}"/>
    <cellStyle name="Normal 2 2 7" xfId="836" xr:uid="{9E23A9BF-583D-48E2-9871-EB18A25A5020}"/>
    <cellStyle name="Normal 2 3" xfId="837" xr:uid="{9CEDCA46-FF10-4047-AD2D-2F6C3DD77EB8}"/>
    <cellStyle name="Normal 2 30 2 2" xfId="838" xr:uid="{4001FA77-D258-42C5-B12A-36F965510750}"/>
    <cellStyle name="Normal 2 4" xfId="839" xr:uid="{CA67BED6-49EC-487A-A593-AC56D84DE574}"/>
    <cellStyle name="Normal 2 5" xfId="840" xr:uid="{85AB0714-9AE5-4972-B9D4-569FB78D3D8E}"/>
    <cellStyle name="Normal 2 6" xfId="841" xr:uid="{2864B9D0-DA97-45A6-8F96-1C0D5334F57B}"/>
    <cellStyle name="Normal 2 7" xfId="842" xr:uid="{61274A28-0A09-4C9E-9991-167D7399C4B4}"/>
    <cellStyle name="Normal 2_Base Correlation Calibration (ITRAXX)" xfId="843" xr:uid="{852E3E3A-9DF7-4943-89E8-CBDEF2B08A8A}"/>
    <cellStyle name="Normal 3" xfId="844" xr:uid="{2A205EE8-03B8-48E2-8E8A-515FE82AA42B}"/>
    <cellStyle name="Normal 3 2" xfId="845" xr:uid="{8909FD94-0FA3-44C1-AF0E-30D9B94FCC1C}"/>
    <cellStyle name="Normal 3 3" xfId="846" xr:uid="{B24A1B93-68A4-4D3B-B33C-F4B7662432CB}"/>
    <cellStyle name="Normal 39" xfId="847" xr:uid="{C0F07204-BD93-4897-8ECE-B21D47E8C972}"/>
    <cellStyle name="Normal 4" xfId="848" xr:uid="{214D8471-D000-4E79-BBA3-08FA6526F9B2}"/>
    <cellStyle name="Normal 4 2" xfId="849" xr:uid="{AC6D00FE-B149-4DD0-98AC-287A0AF33E01}"/>
    <cellStyle name="Normal 4 3" xfId="850" xr:uid="{36FAEBB6-C6BF-4084-911F-003896523F1B}"/>
    <cellStyle name="Normal 5" xfId="851" xr:uid="{4FFE2D00-F508-4D05-8945-B47444E5333B}"/>
    <cellStyle name="Normal 5 2" xfId="852" xr:uid="{A8E1B21A-9FFC-456E-8F75-5BEEFA9F9873}"/>
    <cellStyle name="Normal 6" xfId="853" xr:uid="{0D197E7F-831A-478E-8459-49C06309EFE0}"/>
    <cellStyle name="Normal 7" xfId="854" xr:uid="{69564361-1503-4DE1-917F-273C7D6926F5}"/>
    <cellStyle name="Normal 8" xfId="855" xr:uid="{CFA91A29-E8AF-435C-9ABA-875203D13626}"/>
    <cellStyle name="Normal 9" xfId="856" xr:uid="{919E658B-149D-475F-879A-4EC21FA19E9E}"/>
    <cellStyle name="Note 2" xfId="857" xr:uid="{AFCE22EF-E759-4E4D-98DB-CD24A72F2049}"/>
    <cellStyle name="Note 2 2" xfId="858" xr:uid="{594BBC15-0B4F-44A8-81DD-32CA6309463A}"/>
    <cellStyle name="Note 3" xfId="859" xr:uid="{456265CE-262B-4496-A46F-4BF691FCE0DF}"/>
    <cellStyle name="ObjectDataColumn" xfId="860" xr:uid="{4F43FA0C-F7C2-4FB7-B728-168022C25CE5}"/>
    <cellStyle name="ObjectDataRow" xfId="861" xr:uid="{FBFD3DE2-3665-4762-899A-1128F1CCC6B9}"/>
    <cellStyle name="ObjectLabelColumn" xfId="862" xr:uid="{C7FB5C08-F8EB-4B10-A90A-45BC2890DFDB}"/>
    <cellStyle name="ObjectLabelRow" xfId="863" xr:uid="{60C34D81-3E6B-4B70-99EC-1D749A1161DE}"/>
    <cellStyle name="OutputData" xfId="864" xr:uid="{260EFE0F-2D46-4CD6-9F35-B3C6EF043DCF}"/>
    <cellStyle name="OutputDataColumn" xfId="865" xr:uid="{3CD78644-10A4-437C-BCDE-F4191E62D4FB}"/>
    <cellStyle name="OutputDataRow" xfId="866" xr:uid="{2FB33525-6904-4451-B9BE-96641049F540}"/>
    <cellStyle name="OutputLabel" xfId="867" xr:uid="{23F27596-BD0A-4F1C-ABEE-7521777A31EC}"/>
    <cellStyle name="OutputLabelColumn" xfId="868" xr:uid="{98E58BA3-6463-4590-B9B4-044586293AA2}"/>
    <cellStyle name="OutputLabelRow" xfId="869" xr:uid="{EAC66393-A12C-4948-BBAD-BDB3AAC56877}"/>
    <cellStyle name="PanelLabel" xfId="870" xr:uid="{2B50753B-1CF7-4B4A-9C82-C2E7C7BFD2CB}"/>
    <cellStyle name="Percent" xfId="1" builtinId="5"/>
    <cellStyle name="Percent 10" xfId="871" xr:uid="{C70CED72-9164-43E6-9844-2D32E7E28801}"/>
    <cellStyle name="Percent 14" xfId="872" xr:uid="{9CD023DA-6007-46B9-8C15-E4E2E605EADA}"/>
    <cellStyle name="Percent 2" xfId="7" xr:uid="{71C1140E-B8C0-45F6-A7C5-6FC93C8954CB}"/>
    <cellStyle name="Percent 2 2" xfId="873" xr:uid="{E97C3688-6CA5-4A2C-8F89-A8C7E3D1AF48}"/>
    <cellStyle name="Percent 2 2 2" xfId="874" xr:uid="{377B5ED0-10E6-497F-9105-4CEAC6A347EC}"/>
    <cellStyle name="Percent 2 2 2 2" xfId="8" xr:uid="{070986E5-0600-4246-810B-526DC7D9FBD3}"/>
    <cellStyle name="Percent 2 2 3" xfId="875" xr:uid="{D9C1D636-C05A-464D-AD11-4165708AAC54}"/>
    <cellStyle name="Percent 2 2 4" xfId="876" xr:uid="{83626DFE-48A6-4D20-A505-3FD19303BB31}"/>
    <cellStyle name="Percent 2 2 5" xfId="877" xr:uid="{87C0A9D0-2524-42FF-A910-550E093874F6}"/>
    <cellStyle name="Percent 2 2 6" xfId="878" xr:uid="{9871643D-3D8E-4B81-82DF-111E3F63746D}"/>
    <cellStyle name="Percent 2 3" xfId="879" xr:uid="{5CD1C27F-A7E6-4A03-A4E4-B8640611E879}"/>
    <cellStyle name="Percent 2 3 2" xfId="880" xr:uid="{734B198C-892C-4A73-B4FE-D26561D1601D}"/>
    <cellStyle name="Percent 2 4" xfId="881" xr:uid="{64BF31CE-5AC7-4B5D-8DC7-2D6887450619}"/>
    <cellStyle name="Percent 2 5" xfId="882" xr:uid="{215BD766-A0CA-4CB5-B5DD-4488A82AFD87}"/>
    <cellStyle name="Percent 2 6" xfId="883" xr:uid="{70520286-578D-4302-80D3-B5BB016D5A04}"/>
    <cellStyle name="Percent 3" xfId="884" xr:uid="{74BA7CCB-998A-48F7-939C-29B76B38B9C0}"/>
    <cellStyle name="Percent 3 9" xfId="885" xr:uid="{D4A653FA-BAB9-4BA2-AD6A-963027A179F8}"/>
    <cellStyle name="Percent 4" xfId="886" xr:uid="{6CA82180-0250-4E6B-AFD6-0C1E9D520114}"/>
    <cellStyle name="Percent 4 2" xfId="887" xr:uid="{B76D7A8A-737C-48FC-9694-4E96BAB0B971}"/>
    <cellStyle name="Percent 4 2 2" xfId="888" xr:uid="{D2A72B51-1F3D-4B32-AA3C-A252AE236851}"/>
    <cellStyle name="Percent 5" xfId="889" xr:uid="{C9B104E1-F905-4A8D-AB53-84DC9D3F617A}"/>
    <cellStyle name="Percent 5 2" xfId="890" xr:uid="{316FB929-8795-487E-9C1C-FD3721E00287}"/>
    <cellStyle name="Percent 5 2 2" xfId="891" xr:uid="{C688D9F5-345B-4D37-95B5-21F255488CF2}"/>
    <cellStyle name="Percent 5 2 3" xfId="892" xr:uid="{D730EF61-EE53-4B4B-BE20-401B61EA4E62}"/>
    <cellStyle name="Percent 6" xfId="893" xr:uid="{AD3B4ED3-AF2D-4FD8-9C5F-D050873BFCA3}"/>
    <cellStyle name="Percent 6 2" xfId="894" xr:uid="{D2C3127D-7E82-4869-83C5-DC1D87001808}"/>
    <cellStyle name="Percent 7" xfId="895" xr:uid="{EB7446D8-E2B8-49B8-AB44-7708F3F5F0A2}"/>
    <cellStyle name="Percent 8" xfId="896" xr:uid="{9778CB3A-1D8C-4DD8-96FE-CC96F39C1C1C}"/>
    <cellStyle name="PersonalDataColumn" xfId="897" xr:uid="{C6CCB4D3-6510-4425-B14A-B7DFFB782D28}"/>
    <cellStyle name="PersonalDataRow" xfId="898" xr:uid="{79BBFA7D-5E84-4945-96A9-B71196F36287}"/>
    <cellStyle name="PersonalLabelColumn" xfId="899" xr:uid="{4E718C7C-3C88-493A-8123-1D78F24FF240}"/>
    <cellStyle name="PersonalLabelRow" xfId="900" xr:uid="{675A691D-5E4A-43E5-83DA-6A74D6B8989F}"/>
    <cellStyle name="Q_Input" xfId="901" xr:uid="{7A1E4376-F890-4DC3-8A5E-1D6E68C251A6}"/>
    <cellStyle name="Q_Input Stripe" xfId="902" xr:uid="{B049FC06-C73B-492B-A5C6-29EDA1890B99}"/>
    <cellStyle name="Q_Label" xfId="903" xr:uid="{DB34DAB4-9475-471A-B67F-B6D22D23C686}"/>
    <cellStyle name="Q_Label 2" xfId="6" xr:uid="{C40FA837-4DF2-4713-9F23-1527D078B543}"/>
    <cellStyle name="Q_Label 3" xfId="904" xr:uid="{DFE2F542-108D-4E83-A6C7-2588D97FDC90}"/>
    <cellStyle name="Q_Label Stripe" xfId="905" xr:uid="{1E3E011E-F407-4C44-B965-4DADF5DE9C8E}"/>
    <cellStyle name="Q_Label Stripe 2" xfId="906" xr:uid="{4AEDC845-280E-429E-AD3E-DC63CC763206}"/>
    <cellStyle name="Q_Label Stripe 2 2" xfId="907" xr:uid="{58FBE3B5-7D5E-489A-8572-8D42499DC7C9}"/>
    <cellStyle name="Q_Object" xfId="9" xr:uid="{EC4AB95E-2F47-4F8A-924C-1ED2F839EF6D}"/>
    <cellStyle name="Q_Object 2" xfId="908" xr:uid="{F438250E-025C-484F-AD5E-5AF8A0496616}"/>
    <cellStyle name="Q_Object 3" xfId="909" xr:uid="{72E937DD-3E18-43BC-83A4-5AE9016BFA45}"/>
    <cellStyle name="Q_Result" xfId="910" xr:uid="{6C934F56-A562-483F-8E0F-69FA31B66504}"/>
    <cellStyle name="Q_Result 2" xfId="911" xr:uid="{51E7DDFE-33A6-4131-8D20-7C2A528B11E5}"/>
    <cellStyle name="Q_Result Header" xfId="912" xr:uid="{C24B752D-3590-433D-BBD8-3835A80FBE68}"/>
    <cellStyle name="Q_Result Header 2" xfId="10" xr:uid="{DBC9156D-6794-4585-9D85-B12796989FC4}"/>
    <cellStyle name="Q_Result Total" xfId="913" xr:uid="{C1E68000-6FEA-4649-9186-248950D42EA9}"/>
    <cellStyle name="Q_Section Description" xfId="914" xr:uid="{D822AB40-C0AD-4099-9E4E-F15354E83DB3}"/>
    <cellStyle name="Q_Section Header" xfId="915" xr:uid="{CC3DE0D4-C84D-44A5-810A-2E6773131BB5}"/>
    <cellStyle name="Q_Section Header 2" xfId="916" xr:uid="{9D47209C-0537-4339-B456-D31D57E02275}"/>
    <cellStyle name="Q_Sheet Header" xfId="917" xr:uid="{FDA0A2F7-CA19-449A-9A42-DB5F634EF735}"/>
    <cellStyle name="Q_Sheet Header 2" xfId="918" xr:uid="{94B14B2B-9AB7-4F30-9A30-A3A290669C2E}"/>
    <cellStyle name="result" xfId="919" xr:uid="{8404F438-F833-43EF-A699-FCB14FFAD0D2}"/>
    <cellStyle name="spreads" xfId="920" xr:uid="{9895334B-CF0C-4A67-9E22-A46221498432}"/>
    <cellStyle name="Style 1" xfId="921" xr:uid="{F057D7E4-529F-42E0-9CEE-D71172C8A486}"/>
    <cellStyle name="Style 1 10" xfId="922" xr:uid="{C88E0192-A0F2-4B19-BA6F-34A91E8CFACD}"/>
    <cellStyle name="Style 1 2" xfId="923" xr:uid="{D4A92D02-FE2E-4E99-9584-86125A878FA2}"/>
    <cellStyle name="Style 1 2 2" xfId="924" xr:uid="{3279BF97-15E4-49C9-8A6C-821A3D885A14}"/>
    <cellStyle name="Style 1 2 3" xfId="925" xr:uid="{25C17FC8-07E8-4E04-8FC4-4CA7308C49F3}"/>
    <cellStyle name="Style 1 2 4" xfId="926" xr:uid="{49D72F64-F0CE-4F3B-8AF0-EE5FF50C1FAF}"/>
    <cellStyle name="Style 1 2 5" xfId="927" xr:uid="{F2950815-4566-4EF1-9528-249DC5D86915}"/>
    <cellStyle name="Style 1 2 6" xfId="928" xr:uid="{D0DCC9B1-1EBB-459A-A32F-D26B9CF3164E}"/>
    <cellStyle name="Style 1 2_CDO Pricer (Bespoke Pricing using Base Correlations)" xfId="929" xr:uid="{5D76C104-FA07-4BC3-B01B-08B265CBBE57}"/>
    <cellStyle name="Style 1 3" xfId="930" xr:uid="{86E6C133-9145-451A-8632-1C4CF4950461}"/>
    <cellStyle name="Style 1 4" xfId="931" xr:uid="{2CEB5DCF-CDAC-46F5-AB9E-3DF17C563D6A}"/>
    <cellStyle name="Style 1 4 2" xfId="932" xr:uid="{3992C3A7-79C9-4DDA-A98C-FD5A1CA9C89A}"/>
    <cellStyle name="Style 1 5" xfId="933" xr:uid="{90DADABB-DEFA-467E-AC33-4D334AC7E350}"/>
    <cellStyle name="Style 1 6" xfId="934" xr:uid="{D2EE3E30-15AD-4E44-9D76-0BE451637EB6}"/>
    <cellStyle name="Style 1 7" xfId="935" xr:uid="{997222E1-ED6F-40D9-8C50-8B960AC76AAD}"/>
    <cellStyle name="Style 1 8" xfId="936" xr:uid="{AA64CF8D-BD5D-45A7-91F7-57E1B121B840}"/>
    <cellStyle name="Style 1 9" xfId="937" xr:uid="{ECA5C40D-EEC1-4BE7-A293-CFF4606A3929}"/>
    <cellStyle name="swaptn" xfId="938" xr:uid="{9819E9EA-EAB4-4B7E-A275-F0CC67F87FD0}"/>
    <cellStyle name="TableDataColumn" xfId="939" xr:uid="{C52BE2C9-2DE6-42B8-AF36-4A8D98EA4D42}"/>
    <cellStyle name="TableDataRow" xfId="940" xr:uid="{36CAE53D-362C-454F-9053-9699D742A074}"/>
    <cellStyle name="TableLabelColumn" xfId="941" xr:uid="{E01488A9-77B7-4F84-8B72-16A89EF8421D}"/>
    <cellStyle name="TableLabelRow" xfId="942" xr:uid="{ECB1FC19-B338-447F-8B89-E6382F2E9514}"/>
    <cellStyle name="TableLabelTop" xfId="943" xr:uid="{3B915FA7-ABF8-41D5-A5D0-9511D43C1BF4}"/>
    <cellStyle name="Total 2" xfId="944" xr:uid="{96FDFD77-E9CB-48F7-8485-755ABA3DD382}"/>
    <cellStyle name="Total 2 2" xfId="945" xr:uid="{E0A8E87F-064D-44C0-B0DD-D79AE5FC6384}"/>
    <cellStyle name="Total 2 3" xfId="946" xr:uid="{14D8A213-3928-4F2D-BB3E-61B2BEEEC6B3}"/>
    <cellStyle name="Total 2 4" xfId="947" xr:uid="{D5B7FE00-2AA7-4E11-B2E7-E7B97939BE05}"/>
    <cellStyle name="Total 2 5" xfId="948" xr:uid="{A37F24BE-1B64-4167-B954-7ADD1081593D}"/>
    <cellStyle name="Total 2 6" xfId="949" xr:uid="{10D761DA-4000-4CE4-B4C4-0224F2128752}"/>
    <cellStyle name="Total 2 7" xfId="950" xr:uid="{9702DA20-09D0-483A-8EE4-4911273BF493}"/>
    <cellStyle name="Total 3" xfId="951" xr:uid="{D324BFD5-C050-4AA3-8AF1-AB2B2E199F0C}"/>
    <cellStyle name="Total 3 2" xfId="952" xr:uid="{87D8626C-DB46-4DC4-B44F-E34DA15D3A77}"/>
    <cellStyle name="Total 3 2 2" xfId="953" xr:uid="{851528E8-0FBB-4129-8DF4-65CFE0B3E386}"/>
    <cellStyle name="Total 3 3" xfId="954" xr:uid="{9D50F88D-C14F-43D6-90CB-02822E92A353}"/>
    <cellStyle name="Total 3 4" xfId="955" xr:uid="{8F98CCF8-896E-479C-B565-4C7F68C1645E}"/>
    <cellStyle name="Total 3 5" xfId="956" xr:uid="{2D5A9552-61BC-40BF-9774-1BD717123317}"/>
    <cellStyle name="Total 3 6" xfId="957" xr:uid="{C410B5DA-0003-40E8-8E74-E01D541E2271}"/>
    <cellStyle name="Total 4" xfId="958" xr:uid="{3E048EC4-E54A-460B-B0B3-572725F1DE04}"/>
    <cellStyle name="桁区切り_NewDemo" xfId="959" xr:uid="{42F2F84D-F8B1-4E9F-81AA-92CF6FBF2951}"/>
    <cellStyle name="標準_NewDemo" xfId="960" xr:uid="{992E174B-0006-4775-B10B-F742311D64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'Credit Portfolio'!$Y$4</c:f>
              <c:strCache>
                <c:ptCount val="1"/>
                <c:pt idx="0">
                  <c:v>Monte Carlo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Portfolio'!$X$5:$X$426</c:f>
              <c:numCache>
                <c:formatCode>General</c:formatCode>
                <c:ptCount val="422"/>
                <c:pt idx="0">
                  <c:v>0</c:v>
                </c:pt>
                <c:pt idx="1">
                  <c:v>147.5</c:v>
                </c:pt>
                <c:pt idx="2">
                  <c:v>442.5</c:v>
                </c:pt>
                <c:pt idx="3">
                  <c:v>737.5</c:v>
                </c:pt>
                <c:pt idx="4">
                  <c:v>1032.5</c:v>
                </c:pt>
                <c:pt idx="5">
                  <c:v>1327.5000000000002</c:v>
                </c:pt>
                <c:pt idx="6">
                  <c:v>1622.5000000000002</c:v>
                </c:pt>
                <c:pt idx="7">
                  <c:v>1917.5000000000002</c:v>
                </c:pt>
                <c:pt idx="8">
                  <c:v>2212.5</c:v>
                </c:pt>
                <c:pt idx="9">
                  <c:v>2507.5</c:v>
                </c:pt>
                <c:pt idx="10">
                  <c:v>2802.5000000000005</c:v>
                </c:pt>
                <c:pt idx="11">
                  <c:v>3097.5000000000009</c:v>
                </c:pt>
                <c:pt idx="12">
                  <c:v>3392.5000000000009</c:v>
                </c:pt>
                <c:pt idx="13">
                  <c:v>3687.5000000000014</c:v>
                </c:pt>
                <c:pt idx="14">
                  <c:v>3982.5000000000014</c:v>
                </c:pt>
                <c:pt idx="15">
                  <c:v>4277.5000000000018</c:v>
                </c:pt>
                <c:pt idx="16">
                  <c:v>4572.5000000000018</c:v>
                </c:pt>
                <c:pt idx="17">
                  <c:v>4867.5000000000027</c:v>
                </c:pt>
                <c:pt idx="18">
                  <c:v>5162.5000000000027</c:v>
                </c:pt>
                <c:pt idx="19">
                  <c:v>5457.5000000000027</c:v>
                </c:pt>
                <c:pt idx="20">
                  <c:v>5752.5000000000027</c:v>
                </c:pt>
                <c:pt idx="21">
                  <c:v>6047.5000000000036</c:v>
                </c:pt>
                <c:pt idx="22">
                  <c:v>6342.5000000000036</c:v>
                </c:pt>
                <c:pt idx="23">
                  <c:v>6637.5000000000036</c:v>
                </c:pt>
                <c:pt idx="24">
                  <c:v>6932.5000000000045</c:v>
                </c:pt>
                <c:pt idx="25">
                  <c:v>7227.5000000000045</c:v>
                </c:pt>
                <c:pt idx="26">
                  <c:v>7522.5000000000045</c:v>
                </c:pt>
                <c:pt idx="27">
                  <c:v>7817.5000000000045</c:v>
                </c:pt>
                <c:pt idx="28">
                  <c:v>8112.5000000000055</c:v>
                </c:pt>
                <c:pt idx="29">
                  <c:v>8407.5000000000055</c:v>
                </c:pt>
                <c:pt idx="30">
                  <c:v>8702.5000000000055</c:v>
                </c:pt>
                <c:pt idx="31">
                  <c:v>8997.5000000000055</c:v>
                </c:pt>
                <c:pt idx="32">
                  <c:v>9292.5000000000055</c:v>
                </c:pt>
                <c:pt idx="33">
                  <c:v>9587.5000000000073</c:v>
                </c:pt>
                <c:pt idx="34">
                  <c:v>9882.5000000000073</c:v>
                </c:pt>
                <c:pt idx="35">
                  <c:v>10177.500000000007</c:v>
                </c:pt>
                <c:pt idx="36">
                  <c:v>10472.500000000007</c:v>
                </c:pt>
                <c:pt idx="37">
                  <c:v>10767.500000000007</c:v>
                </c:pt>
                <c:pt idx="38">
                  <c:v>11062.500000000007</c:v>
                </c:pt>
                <c:pt idx="39">
                  <c:v>11357.500000000007</c:v>
                </c:pt>
                <c:pt idx="40">
                  <c:v>11652.500000000009</c:v>
                </c:pt>
                <c:pt idx="41">
                  <c:v>11947.500000000009</c:v>
                </c:pt>
                <c:pt idx="42">
                  <c:v>12242.500000000009</c:v>
                </c:pt>
                <c:pt idx="43">
                  <c:v>12537.500000000009</c:v>
                </c:pt>
                <c:pt idx="44">
                  <c:v>12832.500000000009</c:v>
                </c:pt>
                <c:pt idx="45">
                  <c:v>13127.500000000009</c:v>
                </c:pt>
                <c:pt idx="46">
                  <c:v>13422.500000000009</c:v>
                </c:pt>
                <c:pt idx="47">
                  <c:v>13717.500000000011</c:v>
                </c:pt>
                <c:pt idx="48">
                  <c:v>14012.500000000011</c:v>
                </c:pt>
                <c:pt idx="49">
                  <c:v>14307.500000000011</c:v>
                </c:pt>
                <c:pt idx="50">
                  <c:v>14602.500000000011</c:v>
                </c:pt>
                <c:pt idx="51">
                  <c:v>14897.500000000011</c:v>
                </c:pt>
                <c:pt idx="52">
                  <c:v>15192.500000000011</c:v>
                </c:pt>
                <c:pt idx="53">
                  <c:v>15487.500000000011</c:v>
                </c:pt>
                <c:pt idx="54">
                  <c:v>15782.500000000013</c:v>
                </c:pt>
                <c:pt idx="55">
                  <c:v>16077.500000000013</c:v>
                </c:pt>
                <c:pt idx="56">
                  <c:v>16372.500000000013</c:v>
                </c:pt>
                <c:pt idx="57">
                  <c:v>16667.500000000015</c:v>
                </c:pt>
                <c:pt idx="58">
                  <c:v>16962.500000000015</c:v>
                </c:pt>
                <c:pt idx="59">
                  <c:v>17257.500000000015</c:v>
                </c:pt>
                <c:pt idx="60">
                  <c:v>17552.500000000015</c:v>
                </c:pt>
                <c:pt idx="61">
                  <c:v>17847.500000000015</c:v>
                </c:pt>
                <c:pt idx="62">
                  <c:v>18142.500000000015</c:v>
                </c:pt>
                <c:pt idx="63">
                  <c:v>18437.500000000011</c:v>
                </c:pt>
                <c:pt idx="64">
                  <c:v>18732.500000000011</c:v>
                </c:pt>
                <c:pt idx="65">
                  <c:v>19027.500000000015</c:v>
                </c:pt>
                <c:pt idx="66">
                  <c:v>19322.500000000015</c:v>
                </c:pt>
                <c:pt idx="67">
                  <c:v>19617.500000000015</c:v>
                </c:pt>
                <c:pt idx="68">
                  <c:v>19912.500000000015</c:v>
                </c:pt>
                <c:pt idx="69">
                  <c:v>20207.500000000015</c:v>
                </c:pt>
                <c:pt idx="70">
                  <c:v>20502.500000000015</c:v>
                </c:pt>
                <c:pt idx="71">
                  <c:v>20797.500000000015</c:v>
                </c:pt>
                <c:pt idx="72">
                  <c:v>21092.500000000015</c:v>
                </c:pt>
                <c:pt idx="73">
                  <c:v>21387.500000000015</c:v>
                </c:pt>
                <c:pt idx="74">
                  <c:v>21682.500000000015</c:v>
                </c:pt>
                <c:pt idx="75">
                  <c:v>21977.500000000015</c:v>
                </c:pt>
                <c:pt idx="76">
                  <c:v>22272.500000000015</c:v>
                </c:pt>
                <c:pt idx="77">
                  <c:v>22567.500000000015</c:v>
                </c:pt>
                <c:pt idx="78">
                  <c:v>22862.500000000015</c:v>
                </c:pt>
                <c:pt idx="79">
                  <c:v>23157.500000000018</c:v>
                </c:pt>
                <c:pt idx="80">
                  <c:v>23452.500000000018</c:v>
                </c:pt>
                <c:pt idx="81">
                  <c:v>23747.500000000018</c:v>
                </c:pt>
                <c:pt idx="82">
                  <c:v>24042.500000000018</c:v>
                </c:pt>
                <c:pt idx="83">
                  <c:v>24337.500000000018</c:v>
                </c:pt>
                <c:pt idx="84">
                  <c:v>24632.500000000018</c:v>
                </c:pt>
                <c:pt idx="85">
                  <c:v>24927.500000000018</c:v>
                </c:pt>
                <c:pt idx="86">
                  <c:v>25222.500000000018</c:v>
                </c:pt>
                <c:pt idx="87">
                  <c:v>25517.500000000018</c:v>
                </c:pt>
                <c:pt idx="88">
                  <c:v>25812.500000000018</c:v>
                </c:pt>
                <c:pt idx="89">
                  <c:v>26107.500000000018</c:v>
                </c:pt>
                <c:pt idx="90">
                  <c:v>26402.500000000018</c:v>
                </c:pt>
                <c:pt idx="91">
                  <c:v>26697.500000000018</c:v>
                </c:pt>
                <c:pt idx="92">
                  <c:v>26992.500000000018</c:v>
                </c:pt>
                <c:pt idx="93">
                  <c:v>27287.500000000022</c:v>
                </c:pt>
                <c:pt idx="94">
                  <c:v>27582.500000000022</c:v>
                </c:pt>
                <c:pt idx="95">
                  <c:v>27877.500000000022</c:v>
                </c:pt>
                <c:pt idx="96">
                  <c:v>28172.500000000022</c:v>
                </c:pt>
                <c:pt idx="97">
                  <c:v>28467.500000000022</c:v>
                </c:pt>
                <c:pt idx="98">
                  <c:v>28762.500000000022</c:v>
                </c:pt>
                <c:pt idx="99">
                  <c:v>29057.500000000022</c:v>
                </c:pt>
                <c:pt idx="100">
                  <c:v>29352.500000000022</c:v>
                </c:pt>
                <c:pt idx="101">
                  <c:v>29647.500000000022</c:v>
                </c:pt>
                <c:pt idx="102">
                  <c:v>29942.500000000022</c:v>
                </c:pt>
                <c:pt idx="103">
                  <c:v>30237.500000000022</c:v>
                </c:pt>
                <c:pt idx="104">
                  <c:v>30532.500000000022</c:v>
                </c:pt>
                <c:pt idx="105">
                  <c:v>30827.500000000022</c:v>
                </c:pt>
                <c:pt idx="106">
                  <c:v>31122.500000000022</c:v>
                </c:pt>
                <c:pt idx="107">
                  <c:v>31417.500000000025</c:v>
                </c:pt>
                <c:pt idx="108">
                  <c:v>31712.500000000025</c:v>
                </c:pt>
                <c:pt idx="109">
                  <c:v>32007.500000000025</c:v>
                </c:pt>
                <c:pt idx="110">
                  <c:v>32302.500000000025</c:v>
                </c:pt>
                <c:pt idx="111">
                  <c:v>32597.500000000025</c:v>
                </c:pt>
                <c:pt idx="112">
                  <c:v>32892.500000000022</c:v>
                </c:pt>
                <c:pt idx="113">
                  <c:v>33187.500000000022</c:v>
                </c:pt>
                <c:pt idx="114">
                  <c:v>33482.500000000029</c:v>
                </c:pt>
                <c:pt idx="115">
                  <c:v>33777.500000000029</c:v>
                </c:pt>
                <c:pt idx="116">
                  <c:v>34072.500000000029</c:v>
                </c:pt>
                <c:pt idx="117">
                  <c:v>34367.500000000029</c:v>
                </c:pt>
                <c:pt idx="118">
                  <c:v>34662.500000000029</c:v>
                </c:pt>
                <c:pt idx="119">
                  <c:v>34957.500000000029</c:v>
                </c:pt>
                <c:pt idx="120">
                  <c:v>35252.500000000029</c:v>
                </c:pt>
                <c:pt idx="121">
                  <c:v>35547.500000000029</c:v>
                </c:pt>
                <c:pt idx="122">
                  <c:v>35842.500000000029</c:v>
                </c:pt>
                <c:pt idx="123">
                  <c:v>36137.500000000029</c:v>
                </c:pt>
                <c:pt idx="124">
                  <c:v>36432.500000000029</c:v>
                </c:pt>
                <c:pt idx="125">
                  <c:v>36727.500000000029</c:v>
                </c:pt>
                <c:pt idx="126">
                  <c:v>37022.500000000022</c:v>
                </c:pt>
                <c:pt idx="127">
                  <c:v>37317.500000000022</c:v>
                </c:pt>
                <c:pt idx="128">
                  <c:v>37612.500000000022</c:v>
                </c:pt>
                <c:pt idx="129">
                  <c:v>37907.500000000029</c:v>
                </c:pt>
                <c:pt idx="130">
                  <c:v>38202.500000000029</c:v>
                </c:pt>
                <c:pt idx="131">
                  <c:v>38497.500000000029</c:v>
                </c:pt>
                <c:pt idx="132">
                  <c:v>38792.500000000029</c:v>
                </c:pt>
                <c:pt idx="133">
                  <c:v>39087.500000000029</c:v>
                </c:pt>
                <c:pt idx="134">
                  <c:v>39382.500000000029</c:v>
                </c:pt>
                <c:pt idx="135">
                  <c:v>39677.500000000029</c:v>
                </c:pt>
                <c:pt idx="136">
                  <c:v>39972.500000000029</c:v>
                </c:pt>
                <c:pt idx="137">
                  <c:v>40267.500000000029</c:v>
                </c:pt>
                <c:pt idx="138">
                  <c:v>40562.500000000029</c:v>
                </c:pt>
                <c:pt idx="139">
                  <c:v>40857.500000000029</c:v>
                </c:pt>
                <c:pt idx="140">
                  <c:v>41152.500000000029</c:v>
                </c:pt>
                <c:pt idx="141">
                  <c:v>41447.500000000029</c:v>
                </c:pt>
                <c:pt idx="142">
                  <c:v>41742.500000000029</c:v>
                </c:pt>
                <c:pt idx="143">
                  <c:v>42037.500000000029</c:v>
                </c:pt>
                <c:pt idx="144">
                  <c:v>42332.500000000029</c:v>
                </c:pt>
                <c:pt idx="145">
                  <c:v>42627.500000000029</c:v>
                </c:pt>
                <c:pt idx="146">
                  <c:v>42922.500000000029</c:v>
                </c:pt>
                <c:pt idx="147">
                  <c:v>43217.500000000029</c:v>
                </c:pt>
                <c:pt idx="148">
                  <c:v>43512.500000000029</c:v>
                </c:pt>
                <c:pt idx="149">
                  <c:v>43807.500000000029</c:v>
                </c:pt>
                <c:pt idx="150">
                  <c:v>44102.500000000029</c:v>
                </c:pt>
                <c:pt idx="151">
                  <c:v>44397.500000000029</c:v>
                </c:pt>
                <c:pt idx="152">
                  <c:v>44692.500000000029</c:v>
                </c:pt>
                <c:pt idx="153">
                  <c:v>44987.500000000029</c:v>
                </c:pt>
                <c:pt idx="154">
                  <c:v>45282.500000000029</c:v>
                </c:pt>
                <c:pt idx="155">
                  <c:v>45577.500000000029</c:v>
                </c:pt>
                <c:pt idx="156">
                  <c:v>45872.500000000029</c:v>
                </c:pt>
                <c:pt idx="157">
                  <c:v>46167.500000000036</c:v>
                </c:pt>
                <c:pt idx="158">
                  <c:v>46462.500000000036</c:v>
                </c:pt>
                <c:pt idx="159">
                  <c:v>46757.500000000036</c:v>
                </c:pt>
                <c:pt idx="160">
                  <c:v>47052.500000000036</c:v>
                </c:pt>
                <c:pt idx="161">
                  <c:v>47347.500000000036</c:v>
                </c:pt>
                <c:pt idx="162">
                  <c:v>47642.500000000036</c:v>
                </c:pt>
                <c:pt idx="163">
                  <c:v>47937.500000000036</c:v>
                </c:pt>
                <c:pt idx="164">
                  <c:v>48232.500000000036</c:v>
                </c:pt>
                <c:pt idx="165">
                  <c:v>48527.500000000036</c:v>
                </c:pt>
                <c:pt idx="166">
                  <c:v>48822.500000000036</c:v>
                </c:pt>
                <c:pt idx="167">
                  <c:v>49117.500000000036</c:v>
                </c:pt>
                <c:pt idx="168">
                  <c:v>49412.500000000036</c:v>
                </c:pt>
                <c:pt idx="169">
                  <c:v>49707.500000000036</c:v>
                </c:pt>
                <c:pt idx="170">
                  <c:v>50002.500000000036</c:v>
                </c:pt>
                <c:pt idx="171">
                  <c:v>50297.500000000036</c:v>
                </c:pt>
                <c:pt idx="172">
                  <c:v>50592.500000000036</c:v>
                </c:pt>
                <c:pt idx="173">
                  <c:v>50887.500000000036</c:v>
                </c:pt>
                <c:pt idx="174">
                  <c:v>51182.500000000036</c:v>
                </c:pt>
                <c:pt idx="175">
                  <c:v>51477.500000000036</c:v>
                </c:pt>
                <c:pt idx="176">
                  <c:v>51772.500000000036</c:v>
                </c:pt>
                <c:pt idx="177">
                  <c:v>52067.500000000036</c:v>
                </c:pt>
                <c:pt idx="178">
                  <c:v>52362.500000000036</c:v>
                </c:pt>
                <c:pt idx="179">
                  <c:v>52657.500000000036</c:v>
                </c:pt>
                <c:pt idx="180">
                  <c:v>52952.500000000036</c:v>
                </c:pt>
                <c:pt idx="181">
                  <c:v>53247.500000000036</c:v>
                </c:pt>
                <c:pt idx="182">
                  <c:v>53542.500000000036</c:v>
                </c:pt>
                <c:pt idx="183">
                  <c:v>53837.500000000036</c:v>
                </c:pt>
                <c:pt idx="184">
                  <c:v>54132.500000000036</c:v>
                </c:pt>
                <c:pt idx="185">
                  <c:v>54427.500000000044</c:v>
                </c:pt>
                <c:pt idx="186">
                  <c:v>54722.500000000044</c:v>
                </c:pt>
                <c:pt idx="187">
                  <c:v>55017.500000000044</c:v>
                </c:pt>
                <c:pt idx="188">
                  <c:v>55312.500000000044</c:v>
                </c:pt>
                <c:pt idx="189">
                  <c:v>55607.500000000044</c:v>
                </c:pt>
                <c:pt idx="190">
                  <c:v>55902.500000000044</c:v>
                </c:pt>
                <c:pt idx="191">
                  <c:v>56197.500000000044</c:v>
                </c:pt>
                <c:pt idx="192">
                  <c:v>56492.500000000044</c:v>
                </c:pt>
                <c:pt idx="193">
                  <c:v>56787.500000000044</c:v>
                </c:pt>
                <c:pt idx="194">
                  <c:v>57082.500000000044</c:v>
                </c:pt>
                <c:pt idx="195">
                  <c:v>57377.500000000044</c:v>
                </c:pt>
                <c:pt idx="196">
                  <c:v>57672.500000000044</c:v>
                </c:pt>
                <c:pt idx="197">
                  <c:v>57967.500000000044</c:v>
                </c:pt>
                <c:pt idx="198">
                  <c:v>58262.500000000044</c:v>
                </c:pt>
                <c:pt idx="199">
                  <c:v>58557.500000000044</c:v>
                </c:pt>
                <c:pt idx="200">
                  <c:v>58852.500000000044</c:v>
                </c:pt>
                <c:pt idx="201">
                  <c:v>59147.500000000044</c:v>
                </c:pt>
                <c:pt idx="202">
                  <c:v>59442.500000000044</c:v>
                </c:pt>
                <c:pt idx="203">
                  <c:v>59737.500000000044</c:v>
                </c:pt>
                <c:pt idx="204">
                  <c:v>60032.500000000044</c:v>
                </c:pt>
                <c:pt idx="205">
                  <c:v>60327.500000000044</c:v>
                </c:pt>
                <c:pt idx="206">
                  <c:v>60622.500000000044</c:v>
                </c:pt>
                <c:pt idx="207">
                  <c:v>60917.500000000044</c:v>
                </c:pt>
                <c:pt idx="208">
                  <c:v>61212.500000000044</c:v>
                </c:pt>
                <c:pt idx="209">
                  <c:v>61507.500000000044</c:v>
                </c:pt>
                <c:pt idx="210">
                  <c:v>61802.500000000044</c:v>
                </c:pt>
                <c:pt idx="211">
                  <c:v>62097.500000000044</c:v>
                </c:pt>
                <c:pt idx="212">
                  <c:v>62392.500000000044</c:v>
                </c:pt>
                <c:pt idx="213">
                  <c:v>62687.500000000051</c:v>
                </c:pt>
                <c:pt idx="214">
                  <c:v>62982.500000000051</c:v>
                </c:pt>
                <c:pt idx="215">
                  <c:v>63277.500000000051</c:v>
                </c:pt>
                <c:pt idx="216">
                  <c:v>63572.500000000051</c:v>
                </c:pt>
                <c:pt idx="217">
                  <c:v>63867.500000000051</c:v>
                </c:pt>
                <c:pt idx="218">
                  <c:v>64162.500000000051</c:v>
                </c:pt>
                <c:pt idx="219">
                  <c:v>64457.500000000051</c:v>
                </c:pt>
                <c:pt idx="220">
                  <c:v>64752.500000000051</c:v>
                </c:pt>
                <c:pt idx="221">
                  <c:v>65047.500000000051</c:v>
                </c:pt>
                <c:pt idx="222">
                  <c:v>65342.500000000051</c:v>
                </c:pt>
                <c:pt idx="223">
                  <c:v>65637.500000000044</c:v>
                </c:pt>
                <c:pt idx="224">
                  <c:v>65932.500000000044</c:v>
                </c:pt>
                <c:pt idx="225">
                  <c:v>66227.500000000044</c:v>
                </c:pt>
                <c:pt idx="226">
                  <c:v>66522.500000000044</c:v>
                </c:pt>
                <c:pt idx="227">
                  <c:v>66817.500000000058</c:v>
                </c:pt>
                <c:pt idx="228">
                  <c:v>67112.500000000058</c:v>
                </c:pt>
                <c:pt idx="229">
                  <c:v>67407.500000000058</c:v>
                </c:pt>
                <c:pt idx="230">
                  <c:v>67702.500000000058</c:v>
                </c:pt>
                <c:pt idx="231">
                  <c:v>67997.500000000058</c:v>
                </c:pt>
                <c:pt idx="232">
                  <c:v>68292.500000000058</c:v>
                </c:pt>
                <c:pt idx="233">
                  <c:v>68587.500000000058</c:v>
                </c:pt>
                <c:pt idx="234">
                  <c:v>68882.500000000058</c:v>
                </c:pt>
                <c:pt idx="235">
                  <c:v>69177.500000000058</c:v>
                </c:pt>
                <c:pt idx="236">
                  <c:v>69472.500000000058</c:v>
                </c:pt>
                <c:pt idx="237">
                  <c:v>69767.500000000058</c:v>
                </c:pt>
                <c:pt idx="238">
                  <c:v>70062.500000000058</c:v>
                </c:pt>
                <c:pt idx="239">
                  <c:v>70357.500000000058</c:v>
                </c:pt>
                <c:pt idx="240">
                  <c:v>70652.500000000058</c:v>
                </c:pt>
                <c:pt idx="241">
                  <c:v>70947.500000000058</c:v>
                </c:pt>
                <c:pt idx="242">
                  <c:v>71242.500000000058</c:v>
                </c:pt>
                <c:pt idx="243">
                  <c:v>71537.500000000058</c:v>
                </c:pt>
                <c:pt idx="244">
                  <c:v>71832.500000000058</c:v>
                </c:pt>
                <c:pt idx="245">
                  <c:v>72127.500000000058</c:v>
                </c:pt>
                <c:pt idx="246">
                  <c:v>72422.500000000058</c:v>
                </c:pt>
                <c:pt idx="247">
                  <c:v>72717.500000000058</c:v>
                </c:pt>
                <c:pt idx="248">
                  <c:v>73012.500000000058</c:v>
                </c:pt>
                <c:pt idx="249">
                  <c:v>73307.500000000058</c:v>
                </c:pt>
                <c:pt idx="250">
                  <c:v>73602.500000000058</c:v>
                </c:pt>
                <c:pt idx="251">
                  <c:v>73897.500000000044</c:v>
                </c:pt>
                <c:pt idx="252">
                  <c:v>74192.500000000044</c:v>
                </c:pt>
                <c:pt idx="253">
                  <c:v>74487.500000000044</c:v>
                </c:pt>
                <c:pt idx="254">
                  <c:v>74782.500000000044</c:v>
                </c:pt>
                <c:pt idx="255">
                  <c:v>75077.500000000044</c:v>
                </c:pt>
                <c:pt idx="256">
                  <c:v>75372.500000000044</c:v>
                </c:pt>
                <c:pt idx="257">
                  <c:v>75667.500000000044</c:v>
                </c:pt>
                <c:pt idx="258">
                  <c:v>75962.500000000058</c:v>
                </c:pt>
                <c:pt idx="259">
                  <c:v>76257.500000000058</c:v>
                </c:pt>
                <c:pt idx="260">
                  <c:v>76552.500000000058</c:v>
                </c:pt>
                <c:pt idx="261">
                  <c:v>76847.500000000058</c:v>
                </c:pt>
                <c:pt idx="262">
                  <c:v>77142.500000000058</c:v>
                </c:pt>
                <c:pt idx="263">
                  <c:v>77437.500000000058</c:v>
                </c:pt>
                <c:pt idx="264">
                  <c:v>77732.500000000058</c:v>
                </c:pt>
                <c:pt idx="265">
                  <c:v>78027.500000000058</c:v>
                </c:pt>
                <c:pt idx="266">
                  <c:v>78322.500000000058</c:v>
                </c:pt>
                <c:pt idx="267">
                  <c:v>78617.500000000058</c:v>
                </c:pt>
                <c:pt idx="268">
                  <c:v>78912.500000000058</c:v>
                </c:pt>
                <c:pt idx="269">
                  <c:v>79207.500000000058</c:v>
                </c:pt>
                <c:pt idx="270">
                  <c:v>79502.500000000058</c:v>
                </c:pt>
                <c:pt idx="271">
                  <c:v>79797.500000000058</c:v>
                </c:pt>
                <c:pt idx="272">
                  <c:v>80092.500000000058</c:v>
                </c:pt>
                <c:pt idx="273">
                  <c:v>80387.500000000058</c:v>
                </c:pt>
                <c:pt idx="274">
                  <c:v>80682.500000000058</c:v>
                </c:pt>
                <c:pt idx="275">
                  <c:v>80977.500000000058</c:v>
                </c:pt>
                <c:pt idx="276">
                  <c:v>81272.500000000058</c:v>
                </c:pt>
                <c:pt idx="277">
                  <c:v>81567.500000000058</c:v>
                </c:pt>
                <c:pt idx="278">
                  <c:v>81862.500000000058</c:v>
                </c:pt>
                <c:pt idx="279">
                  <c:v>82157.500000000058</c:v>
                </c:pt>
                <c:pt idx="280">
                  <c:v>82452.500000000058</c:v>
                </c:pt>
                <c:pt idx="281">
                  <c:v>82747.500000000058</c:v>
                </c:pt>
                <c:pt idx="282">
                  <c:v>83042.500000000058</c:v>
                </c:pt>
                <c:pt idx="283">
                  <c:v>83337.500000000058</c:v>
                </c:pt>
                <c:pt idx="284">
                  <c:v>83632.500000000058</c:v>
                </c:pt>
                <c:pt idx="285">
                  <c:v>83927.500000000058</c:v>
                </c:pt>
                <c:pt idx="286">
                  <c:v>84222.500000000058</c:v>
                </c:pt>
                <c:pt idx="287">
                  <c:v>84517.500000000058</c:v>
                </c:pt>
                <c:pt idx="288">
                  <c:v>84812.500000000058</c:v>
                </c:pt>
                <c:pt idx="289">
                  <c:v>85107.500000000058</c:v>
                </c:pt>
                <c:pt idx="290">
                  <c:v>85402.500000000058</c:v>
                </c:pt>
                <c:pt idx="291">
                  <c:v>85697.500000000058</c:v>
                </c:pt>
                <c:pt idx="292">
                  <c:v>85992.500000000058</c:v>
                </c:pt>
                <c:pt idx="293">
                  <c:v>86287.500000000058</c:v>
                </c:pt>
                <c:pt idx="294">
                  <c:v>86582.500000000058</c:v>
                </c:pt>
                <c:pt idx="295">
                  <c:v>86877.500000000058</c:v>
                </c:pt>
                <c:pt idx="296">
                  <c:v>87172.500000000058</c:v>
                </c:pt>
                <c:pt idx="297">
                  <c:v>87467.500000000058</c:v>
                </c:pt>
                <c:pt idx="298">
                  <c:v>87762.500000000058</c:v>
                </c:pt>
                <c:pt idx="299">
                  <c:v>88057.500000000058</c:v>
                </c:pt>
                <c:pt idx="300">
                  <c:v>88352.500000000058</c:v>
                </c:pt>
                <c:pt idx="301">
                  <c:v>88647.500000000058</c:v>
                </c:pt>
                <c:pt idx="302">
                  <c:v>88942.500000000058</c:v>
                </c:pt>
                <c:pt idx="303">
                  <c:v>89237.500000000058</c:v>
                </c:pt>
                <c:pt idx="304">
                  <c:v>89532.500000000058</c:v>
                </c:pt>
                <c:pt idx="305">
                  <c:v>89827.500000000058</c:v>
                </c:pt>
                <c:pt idx="306">
                  <c:v>90122.500000000058</c:v>
                </c:pt>
                <c:pt idx="307">
                  <c:v>90417.500000000058</c:v>
                </c:pt>
                <c:pt idx="308">
                  <c:v>90712.500000000058</c:v>
                </c:pt>
                <c:pt idx="309">
                  <c:v>91007.500000000058</c:v>
                </c:pt>
                <c:pt idx="310">
                  <c:v>91302.500000000058</c:v>
                </c:pt>
                <c:pt idx="311">
                  <c:v>91597.500000000058</c:v>
                </c:pt>
                <c:pt idx="312">
                  <c:v>91892.500000000058</c:v>
                </c:pt>
                <c:pt idx="313">
                  <c:v>92187.500000000073</c:v>
                </c:pt>
                <c:pt idx="314">
                  <c:v>92482.500000000073</c:v>
                </c:pt>
                <c:pt idx="315">
                  <c:v>92777.500000000073</c:v>
                </c:pt>
                <c:pt idx="316">
                  <c:v>93072.500000000073</c:v>
                </c:pt>
                <c:pt idx="317">
                  <c:v>93367.500000000073</c:v>
                </c:pt>
                <c:pt idx="318">
                  <c:v>93662.500000000073</c:v>
                </c:pt>
                <c:pt idx="319">
                  <c:v>93957.500000000073</c:v>
                </c:pt>
                <c:pt idx="320">
                  <c:v>94252.500000000073</c:v>
                </c:pt>
                <c:pt idx="321">
                  <c:v>94547.500000000073</c:v>
                </c:pt>
                <c:pt idx="322">
                  <c:v>94842.500000000073</c:v>
                </c:pt>
                <c:pt idx="323">
                  <c:v>95137.500000000073</c:v>
                </c:pt>
                <c:pt idx="324">
                  <c:v>95432.500000000073</c:v>
                </c:pt>
                <c:pt idx="325">
                  <c:v>95727.500000000073</c:v>
                </c:pt>
                <c:pt idx="326">
                  <c:v>96022.500000000073</c:v>
                </c:pt>
                <c:pt idx="327">
                  <c:v>96317.500000000073</c:v>
                </c:pt>
                <c:pt idx="328">
                  <c:v>96612.500000000073</c:v>
                </c:pt>
                <c:pt idx="329">
                  <c:v>96907.500000000073</c:v>
                </c:pt>
                <c:pt idx="330">
                  <c:v>97202.500000000073</c:v>
                </c:pt>
                <c:pt idx="331">
                  <c:v>97497.500000000073</c:v>
                </c:pt>
                <c:pt idx="332">
                  <c:v>97792.500000000073</c:v>
                </c:pt>
                <c:pt idx="333">
                  <c:v>98087.500000000073</c:v>
                </c:pt>
                <c:pt idx="334">
                  <c:v>98382.500000000073</c:v>
                </c:pt>
                <c:pt idx="335">
                  <c:v>98677.500000000073</c:v>
                </c:pt>
                <c:pt idx="336">
                  <c:v>98972.500000000073</c:v>
                </c:pt>
                <c:pt idx="337">
                  <c:v>99267.500000000073</c:v>
                </c:pt>
                <c:pt idx="338">
                  <c:v>99562.500000000073</c:v>
                </c:pt>
                <c:pt idx="339">
                  <c:v>99857.500000000073</c:v>
                </c:pt>
                <c:pt idx="340">
                  <c:v>100152.50000000007</c:v>
                </c:pt>
                <c:pt idx="341">
                  <c:v>100447.50000000007</c:v>
                </c:pt>
                <c:pt idx="342">
                  <c:v>100742.50000000007</c:v>
                </c:pt>
                <c:pt idx="343">
                  <c:v>101037.50000000007</c:v>
                </c:pt>
                <c:pt idx="344">
                  <c:v>101332.50000000007</c:v>
                </c:pt>
                <c:pt idx="345">
                  <c:v>101627.50000000007</c:v>
                </c:pt>
                <c:pt idx="346">
                  <c:v>101922.50000000007</c:v>
                </c:pt>
                <c:pt idx="347">
                  <c:v>102217.50000000007</c:v>
                </c:pt>
                <c:pt idx="348">
                  <c:v>102512.50000000007</c:v>
                </c:pt>
                <c:pt idx="349">
                  <c:v>102807.50000000007</c:v>
                </c:pt>
                <c:pt idx="350">
                  <c:v>103102.50000000007</c:v>
                </c:pt>
                <c:pt idx="351">
                  <c:v>103397.50000000007</c:v>
                </c:pt>
                <c:pt idx="352">
                  <c:v>103692.50000000007</c:v>
                </c:pt>
                <c:pt idx="353">
                  <c:v>103987.50000000007</c:v>
                </c:pt>
                <c:pt idx="354">
                  <c:v>104282.50000000007</c:v>
                </c:pt>
                <c:pt idx="355">
                  <c:v>104577.50000000007</c:v>
                </c:pt>
                <c:pt idx="356">
                  <c:v>104872.50000000007</c:v>
                </c:pt>
                <c:pt idx="357">
                  <c:v>105167.50000000007</c:v>
                </c:pt>
                <c:pt idx="358">
                  <c:v>105462.50000000007</c:v>
                </c:pt>
                <c:pt idx="359">
                  <c:v>105757.50000000007</c:v>
                </c:pt>
                <c:pt idx="360">
                  <c:v>106052.50000000007</c:v>
                </c:pt>
                <c:pt idx="361">
                  <c:v>106347.50000000007</c:v>
                </c:pt>
                <c:pt idx="362">
                  <c:v>106642.50000000007</c:v>
                </c:pt>
                <c:pt idx="363">
                  <c:v>106937.50000000007</c:v>
                </c:pt>
                <c:pt idx="364">
                  <c:v>107232.50000000007</c:v>
                </c:pt>
                <c:pt idx="365">
                  <c:v>107527.50000000007</c:v>
                </c:pt>
                <c:pt idx="366">
                  <c:v>107822.50000000007</c:v>
                </c:pt>
                <c:pt idx="367">
                  <c:v>108117.50000000007</c:v>
                </c:pt>
                <c:pt idx="368">
                  <c:v>108412.50000000007</c:v>
                </c:pt>
                <c:pt idx="369">
                  <c:v>108707.50000000009</c:v>
                </c:pt>
                <c:pt idx="370">
                  <c:v>109002.50000000009</c:v>
                </c:pt>
                <c:pt idx="371">
                  <c:v>109297.50000000009</c:v>
                </c:pt>
                <c:pt idx="372">
                  <c:v>109592.50000000009</c:v>
                </c:pt>
                <c:pt idx="373">
                  <c:v>109887.50000000009</c:v>
                </c:pt>
                <c:pt idx="374">
                  <c:v>110182.50000000009</c:v>
                </c:pt>
                <c:pt idx="375">
                  <c:v>110477.50000000009</c:v>
                </c:pt>
                <c:pt idx="376">
                  <c:v>110772.50000000009</c:v>
                </c:pt>
                <c:pt idx="377">
                  <c:v>111067.50000000009</c:v>
                </c:pt>
                <c:pt idx="378">
                  <c:v>111362.50000000009</c:v>
                </c:pt>
                <c:pt idx="379">
                  <c:v>111657.50000000009</c:v>
                </c:pt>
                <c:pt idx="380">
                  <c:v>111952.50000000009</c:v>
                </c:pt>
                <c:pt idx="381">
                  <c:v>112247.50000000009</c:v>
                </c:pt>
                <c:pt idx="382">
                  <c:v>112542.50000000009</c:v>
                </c:pt>
                <c:pt idx="383">
                  <c:v>112837.50000000009</c:v>
                </c:pt>
                <c:pt idx="384">
                  <c:v>113132.50000000009</c:v>
                </c:pt>
                <c:pt idx="385">
                  <c:v>113427.50000000009</c:v>
                </c:pt>
                <c:pt idx="386">
                  <c:v>113722.50000000009</c:v>
                </c:pt>
                <c:pt idx="387">
                  <c:v>114017.50000000009</c:v>
                </c:pt>
                <c:pt idx="388">
                  <c:v>114312.50000000009</c:v>
                </c:pt>
                <c:pt idx="389">
                  <c:v>114607.50000000009</c:v>
                </c:pt>
                <c:pt idx="390">
                  <c:v>114902.50000000009</c:v>
                </c:pt>
                <c:pt idx="391">
                  <c:v>115197.50000000009</c:v>
                </c:pt>
                <c:pt idx="392">
                  <c:v>115492.50000000009</c:v>
                </c:pt>
                <c:pt idx="393">
                  <c:v>115787.50000000009</c:v>
                </c:pt>
                <c:pt idx="394">
                  <c:v>116082.50000000009</c:v>
                </c:pt>
                <c:pt idx="395">
                  <c:v>116377.50000000009</c:v>
                </c:pt>
                <c:pt idx="396">
                  <c:v>116672.50000000009</c:v>
                </c:pt>
                <c:pt idx="397">
                  <c:v>116967.50000000009</c:v>
                </c:pt>
                <c:pt idx="398">
                  <c:v>117262.50000000009</c:v>
                </c:pt>
                <c:pt idx="399">
                  <c:v>117557.50000000009</c:v>
                </c:pt>
                <c:pt idx="400">
                  <c:v>117852.50000000009</c:v>
                </c:pt>
                <c:pt idx="401">
                  <c:v>118147.50000000009</c:v>
                </c:pt>
                <c:pt idx="402">
                  <c:v>118442.50000000009</c:v>
                </c:pt>
                <c:pt idx="403">
                  <c:v>118737.50000000009</c:v>
                </c:pt>
                <c:pt idx="404">
                  <c:v>119032.50000000009</c:v>
                </c:pt>
                <c:pt idx="405">
                  <c:v>119327.50000000009</c:v>
                </c:pt>
                <c:pt idx="406">
                  <c:v>119622.50000000009</c:v>
                </c:pt>
                <c:pt idx="407">
                  <c:v>119917.50000000009</c:v>
                </c:pt>
                <c:pt idx="408">
                  <c:v>120212.50000000009</c:v>
                </c:pt>
                <c:pt idx="409">
                  <c:v>120507.50000000009</c:v>
                </c:pt>
                <c:pt idx="410">
                  <c:v>120802.50000000009</c:v>
                </c:pt>
                <c:pt idx="411">
                  <c:v>121097.50000000009</c:v>
                </c:pt>
                <c:pt idx="412">
                  <c:v>121392.50000000009</c:v>
                </c:pt>
                <c:pt idx="413">
                  <c:v>121687.50000000009</c:v>
                </c:pt>
                <c:pt idx="414">
                  <c:v>121982.50000000009</c:v>
                </c:pt>
                <c:pt idx="415">
                  <c:v>122277.50000000009</c:v>
                </c:pt>
                <c:pt idx="416">
                  <c:v>122572.50000000009</c:v>
                </c:pt>
                <c:pt idx="417">
                  <c:v>122867.50000000009</c:v>
                </c:pt>
                <c:pt idx="418">
                  <c:v>123162.50000000009</c:v>
                </c:pt>
                <c:pt idx="419">
                  <c:v>123457.50000000009</c:v>
                </c:pt>
                <c:pt idx="420">
                  <c:v>123752.50000000009</c:v>
                </c:pt>
                <c:pt idx="421">
                  <c:v>124047.50000000009</c:v>
                </c:pt>
              </c:numCache>
            </c:numRef>
          </c:xVal>
          <c:yVal>
            <c:numRef>
              <c:f>'Credit Portfolio'!$Y$5:$Y$426</c:f>
              <c:numCache>
                <c:formatCode>0.00000</c:formatCode>
                <c:ptCount val="422"/>
                <c:pt idx="0">
                  <c:v>1</c:v>
                </c:pt>
                <c:pt idx="1">
                  <c:v>0.81799999999999995</c:v>
                </c:pt>
                <c:pt idx="2">
                  <c:v>0.64849999999999997</c:v>
                </c:pt>
                <c:pt idx="3">
                  <c:v>0.5091</c:v>
                </c:pt>
                <c:pt idx="4">
                  <c:v>0.5091</c:v>
                </c:pt>
                <c:pt idx="5">
                  <c:v>0.40129999999999999</c:v>
                </c:pt>
                <c:pt idx="6">
                  <c:v>0.3216</c:v>
                </c:pt>
                <c:pt idx="7">
                  <c:v>0.27200000000000002</c:v>
                </c:pt>
                <c:pt idx="8">
                  <c:v>0.21920000000000001</c:v>
                </c:pt>
                <c:pt idx="9">
                  <c:v>0.1857</c:v>
                </c:pt>
                <c:pt idx="10">
                  <c:v>0.15540000000000001</c:v>
                </c:pt>
                <c:pt idx="11">
                  <c:v>0.13669999999999999</c:v>
                </c:pt>
                <c:pt idx="12">
                  <c:v>0.1133</c:v>
                </c:pt>
                <c:pt idx="13">
                  <c:v>0.1012</c:v>
                </c:pt>
                <c:pt idx="14">
                  <c:v>8.5000000000000006E-2</c:v>
                </c:pt>
                <c:pt idx="15">
                  <c:v>7.3800000000000004E-2</c:v>
                </c:pt>
                <c:pt idx="16">
                  <c:v>6.2700000000000006E-2</c:v>
                </c:pt>
                <c:pt idx="17">
                  <c:v>5.4399999999999997E-2</c:v>
                </c:pt>
                <c:pt idx="18">
                  <c:v>4.6699999999999998E-2</c:v>
                </c:pt>
                <c:pt idx="19">
                  <c:v>3.9399999999999998E-2</c:v>
                </c:pt>
                <c:pt idx="20">
                  <c:v>3.4500000000000003E-2</c:v>
                </c:pt>
                <c:pt idx="21">
                  <c:v>0.03</c:v>
                </c:pt>
                <c:pt idx="22">
                  <c:v>2.6599999999999999E-2</c:v>
                </c:pt>
                <c:pt idx="23">
                  <c:v>2.2800000000000001E-2</c:v>
                </c:pt>
                <c:pt idx="24">
                  <c:v>2.0500000000000001E-2</c:v>
                </c:pt>
                <c:pt idx="25">
                  <c:v>1.7000000000000001E-2</c:v>
                </c:pt>
                <c:pt idx="26">
                  <c:v>1.54E-2</c:v>
                </c:pt>
                <c:pt idx="27">
                  <c:v>1.2800000000000001E-2</c:v>
                </c:pt>
                <c:pt idx="28">
                  <c:v>1.14E-2</c:v>
                </c:pt>
                <c:pt idx="29">
                  <c:v>1.0500000000000001E-2</c:v>
                </c:pt>
                <c:pt idx="30">
                  <c:v>9.1999999999999998E-3</c:v>
                </c:pt>
                <c:pt idx="31">
                  <c:v>8.2000000000000007E-3</c:v>
                </c:pt>
                <c:pt idx="32">
                  <c:v>7.1999999999999998E-3</c:v>
                </c:pt>
                <c:pt idx="33">
                  <c:v>6.4000000000000003E-3</c:v>
                </c:pt>
                <c:pt idx="34">
                  <c:v>5.5999999999999999E-3</c:v>
                </c:pt>
                <c:pt idx="35">
                  <c:v>4.8999999999999998E-3</c:v>
                </c:pt>
                <c:pt idx="36">
                  <c:v>4.1999999999999997E-3</c:v>
                </c:pt>
                <c:pt idx="37">
                  <c:v>3.8999999999999998E-3</c:v>
                </c:pt>
                <c:pt idx="38">
                  <c:v>3.7000000000000002E-3</c:v>
                </c:pt>
                <c:pt idx="39">
                  <c:v>2.8999999999999998E-3</c:v>
                </c:pt>
                <c:pt idx="40">
                  <c:v>2.3E-3</c:v>
                </c:pt>
                <c:pt idx="41">
                  <c:v>2E-3</c:v>
                </c:pt>
                <c:pt idx="42">
                  <c:v>2E-3</c:v>
                </c:pt>
                <c:pt idx="43">
                  <c:v>1.6000000000000001E-3</c:v>
                </c:pt>
                <c:pt idx="44">
                  <c:v>1.4E-3</c:v>
                </c:pt>
                <c:pt idx="45">
                  <c:v>1.4E-3</c:v>
                </c:pt>
                <c:pt idx="46">
                  <c:v>1.1000000000000001E-3</c:v>
                </c:pt>
                <c:pt idx="47">
                  <c:v>1E-3</c:v>
                </c:pt>
                <c:pt idx="48">
                  <c:v>8.0000000000000004E-4</c:v>
                </c:pt>
                <c:pt idx="49">
                  <c:v>5.0000000000000001E-4</c:v>
                </c:pt>
                <c:pt idx="50">
                  <c:v>2.9999999999999997E-4</c:v>
                </c:pt>
                <c:pt idx="51">
                  <c:v>2.9999999999999997E-4</c:v>
                </c:pt>
                <c:pt idx="52">
                  <c:v>2.9999999999999997E-4</c:v>
                </c:pt>
                <c:pt idx="53">
                  <c:v>2.0000000000000001E-4</c:v>
                </c:pt>
                <c:pt idx="54">
                  <c:v>1E-4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 formatCode="0.000000">
                  <c:v>0</c:v>
                </c:pt>
                <c:pt idx="60" formatCode="0.000000">
                  <c:v>0</c:v>
                </c:pt>
                <c:pt idx="61" formatCode="0.000000">
                  <c:v>0</c:v>
                </c:pt>
                <c:pt idx="62" formatCode="0.000000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 formatCode="0.0000000">
                  <c:v>0</c:v>
                </c:pt>
                <c:pt idx="75" formatCode="0.00000000">
                  <c:v>0</c:v>
                </c:pt>
                <c:pt idx="76" formatCode="0.00000000">
                  <c:v>0</c:v>
                </c:pt>
                <c:pt idx="77" formatCode="0.00000000">
                  <c:v>0</c:v>
                </c:pt>
                <c:pt idx="78" formatCode="0.00000000">
                  <c:v>0</c:v>
                </c:pt>
                <c:pt idx="79" formatCode="0.00000000">
                  <c:v>0</c:v>
                </c:pt>
                <c:pt idx="80" formatCode="0.00000000">
                  <c:v>0</c:v>
                </c:pt>
                <c:pt idx="81" formatCode="0.00000000">
                  <c:v>0</c:v>
                </c:pt>
                <c:pt idx="82" formatCode="0.00000000">
                  <c:v>0</c:v>
                </c:pt>
                <c:pt idx="83" formatCode="0.00000000">
                  <c:v>0</c:v>
                </c:pt>
                <c:pt idx="84" formatCode="0.00000000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7-4CFB-9808-8F454F30927F}"/>
            </c:ext>
          </c:extLst>
        </c:ser>
        <c:ser>
          <c:idx val="2"/>
          <c:order val="1"/>
          <c:tx>
            <c:strRef>
              <c:f>'Credit Portfolio'!$Z$4</c:f>
              <c:strCache>
                <c:ptCount val="1"/>
                <c:pt idx="0">
                  <c:v>Conditional Normal Approximation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Portfolio'!$X$5:$X$426</c:f>
              <c:numCache>
                <c:formatCode>General</c:formatCode>
                <c:ptCount val="422"/>
                <c:pt idx="0">
                  <c:v>0</c:v>
                </c:pt>
                <c:pt idx="1">
                  <c:v>147.5</c:v>
                </c:pt>
                <c:pt idx="2">
                  <c:v>442.5</c:v>
                </c:pt>
                <c:pt idx="3">
                  <c:v>737.5</c:v>
                </c:pt>
                <c:pt idx="4">
                  <c:v>1032.5</c:v>
                </c:pt>
                <c:pt idx="5">
                  <c:v>1327.5000000000002</c:v>
                </c:pt>
                <c:pt idx="6">
                  <c:v>1622.5000000000002</c:v>
                </c:pt>
                <c:pt idx="7">
                  <c:v>1917.5000000000002</c:v>
                </c:pt>
                <c:pt idx="8">
                  <c:v>2212.5</c:v>
                </c:pt>
                <c:pt idx="9">
                  <c:v>2507.5</c:v>
                </c:pt>
                <c:pt idx="10">
                  <c:v>2802.5000000000005</c:v>
                </c:pt>
                <c:pt idx="11">
                  <c:v>3097.5000000000009</c:v>
                </c:pt>
                <c:pt idx="12">
                  <c:v>3392.5000000000009</c:v>
                </c:pt>
                <c:pt idx="13">
                  <c:v>3687.5000000000014</c:v>
                </c:pt>
                <c:pt idx="14">
                  <c:v>3982.5000000000014</c:v>
                </c:pt>
                <c:pt idx="15">
                  <c:v>4277.5000000000018</c:v>
                </c:pt>
                <c:pt idx="16">
                  <c:v>4572.5000000000018</c:v>
                </c:pt>
                <c:pt idx="17">
                  <c:v>4867.5000000000027</c:v>
                </c:pt>
                <c:pt idx="18">
                  <c:v>5162.5000000000027</c:v>
                </c:pt>
                <c:pt idx="19">
                  <c:v>5457.5000000000027</c:v>
                </c:pt>
                <c:pt idx="20">
                  <c:v>5752.5000000000027</c:v>
                </c:pt>
                <c:pt idx="21">
                  <c:v>6047.5000000000036</c:v>
                </c:pt>
                <c:pt idx="22">
                  <c:v>6342.5000000000036</c:v>
                </c:pt>
                <c:pt idx="23">
                  <c:v>6637.5000000000036</c:v>
                </c:pt>
                <c:pt idx="24">
                  <c:v>6932.5000000000045</c:v>
                </c:pt>
                <c:pt idx="25">
                  <c:v>7227.5000000000045</c:v>
                </c:pt>
                <c:pt idx="26">
                  <c:v>7522.5000000000045</c:v>
                </c:pt>
                <c:pt idx="27">
                  <c:v>7817.5000000000045</c:v>
                </c:pt>
                <c:pt idx="28">
                  <c:v>8112.5000000000055</c:v>
                </c:pt>
                <c:pt idx="29">
                  <c:v>8407.5000000000055</c:v>
                </c:pt>
                <c:pt idx="30">
                  <c:v>8702.5000000000055</c:v>
                </c:pt>
                <c:pt idx="31">
                  <c:v>8997.5000000000055</c:v>
                </c:pt>
                <c:pt idx="32">
                  <c:v>9292.5000000000055</c:v>
                </c:pt>
                <c:pt idx="33">
                  <c:v>9587.5000000000073</c:v>
                </c:pt>
                <c:pt idx="34">
                  <c:v>9882.5000000000073</c:v>
                </c:pt>
                <c:pt idx="35">
                  <c:v>10177.500000000007</c:v>
                </c:pt>
                <c:pt idx="36">
                  <c:v>10472.500000000007</c:v>
                </c:pt>
                <c:pt idx="37">
                  <c:v>10767.500000000007</c:v>
                </c:pt>
                <c:pt idx="38">
                  <c:v>11062.500000000007</c:v>
                </c:pt>
                <c:pt idx="39">
                  <c:v>11357.500000000007</c:v>
                </c:pt>
                <c:pt idx="40">
                  <c:v>11652.500000000009</c:v>
                </c:pt>
                <c:pt idx="41">
                  <c:v>11947.500000000009</c:v>
                </c:pt>
                <c:pt idx="42">
                  <c:v>12242.500000000009</c:v>
                </c:pt>
                <c:pt idx="43">
                  <c:v>12537.500000000009</c:v>
                </c:pt>
                <c:pt idx="44">
                  <c:v>12832.500000000009</c:v>
                </c:pt>
                <c:pt idx="45">
                  <c:v>13127.500000000009</c:v>
                </c:pt>
                <c:pt idx="46">
                  <c:v>13422.500000000009</c:v>
                </c:pt>
                <c:pt idx="47">
                  <c:v>13717.500000000011</c:v>
                </c:pt>
                <c:pt idx="48">
                  <c:v>14012.500000000011</c:v>
                </c:pt>
                <c:pt idx="49">
                  <c:v>14307.500000000011</c:v>
                </c:pt>
                <c:pt idx="50">
                  <c:v>14602.500000000011</c:v>
                </c:pt>
                <c:pt idx="51">
                  <c:v>14897.500000000011</c:v>
                </c:pt>
                <c:pt idx="52">
                  <c:v>15192.500000000011</c:v>
                </c:pt>
                <c:pt idx="53">
                  <c:v>15487.500000000011</c:v>
                </c:pt>
                <c:pt idx="54">
                  <c:v>15782.500000000013</c:v>
                </c:pt>
                <c:pt idx="55">
                  <c:v>16077.500000000013</c:v>
                </c:pt>
                <c:pt idx="56">
                  <c:v>16372.500000000013</c:v>
                </c:pt>
                <c:pt idx="57">
                  <c:v>16667.500000000015</c:v>
                </c:pt>
                <c:pt idx="58">
                  <c:v>16962.500000000015</c:v>
                </c:pt>
                <c:pt idx="59">
                  <c:v>17257.500000000015</c:v>
                </c:pt>
                <c:pt idx="60">
                  <c:v>17552.500000000015</c:v>
                </c:pt>
                <c:pt idx="61">
                  <c:v>17847.500000000015</c:v>
                </c:pt>
                <c:pt idx="62">
                  <c:v>18142.500000000015</c:v>
                </c:pt>
                <c:pt idx="63">
                  <c:v>18437.500000000011</c:v>
                </c:pt>
                <c:pt idx="64">
                  <c:v>18732.500000000011</c:v>
                </c:pt>
                <c:pt idx="65">
                  <c:v>19027.500000000015</c:v>
                </c:pt>
                <c:pt idx="66">
                  <c:v>19322.500000000015</c:v>
                </c:pt>
                <c:pt idx="67">
                  <c:v>19617.500000000015</c:v>
                </c:pt>
                <c:pt idx="68">
                  <c:v>19912.500000000015</c:v>
                </c:pt>
                <c:pt idx="69">
                  <c:v>20207.500000000015</c:v>
                </c:pt>
                <c:pt idx="70">
                  <c:v>20502.500000000015</c:v>
                </c:pt>
                <c:pt idx="71">
                  <c:v>20797.500000000015</c:v>
                </c:pt>
                <c:pt idx="72">
                  <c:v>21092.500000000015</c:v>
                </c:pt>
                <c:pt idx="73">
                  <c:v>21387.500000000015</c:v>
                </c:pt>
                <c:pt idx="74">
                  <c:v>21682.500000000015</c:v>
                </c:pt>
                <c:pt idx="75">
                  <c:v>21977.500000000015</c:v>
                </c:pt>
                <c:pt idx="76">
                  <c:v>22272.500000000015</c:v>
                </c:pt>
                <c:pt idx="77">
                  <c:v>22567.500000000015</c:v>
                </c:pt>
                <c:pt idx="78">
                  <c:v>22862.500000000015</c:v>
                </c:pt>
                <c:pt idx="79">
                  <c:v>23157.500000000018</c:v>
                </c:pt>
                <c:pt idx="80">
                  <c:v>23452.500000000018</c:v>
                </c:pt>
                <c:pt idx="81">
                  <c:v>23747.500000000018</c:v>
                </c:pt>
                <c:pt idx="82">
                  <c:v>24042.500000000018</c:v>
                </c:pt>
                <c:pt idx="83">
                  <c:v>24337.500000000018</c:v>
                </c:pt>
                <c:pt idx="84">
                  <c:v>24632.500000000018</c:v>
                </c:pt>
                <c:pt idx="85">
                  <c:v>24927.500000000018</c:v>
                </c:pt>
                <c:pt idx="86">
                  <c:v>25222.500000000018</c:v>
                </c:pt>
                <c:pt idx="87">
                  <c:v>25517.500000000018</c:v>
                </c:pt>
                <c:pt idx="88">
                  <c:v>25812.500000000018</c:v>
                </c:pt>
                <c:pt idx="89">
                  <c:v>26107.500000000018</c:v>
                </c:pt>
                <c:pt idx="90">
                  <c:v>26402.500000000018</c:v>
                </c:pt>
                <c:pt idx="91">
                  <c:v>26697.500000000018</c:v>
                </c:pt>
                <c:pt idx="92">
                  <c:v>26992.500000000018</c:v>
                </c:pt>
                <c:pt idx="93">
                  <c:v>27287.500000000022</c:v>
                </c:pt>
                <c:pt idx="94">
                  <c:v>27582.500000000022</c:v>
                </c:pt>
                <c:pt idx="95">
                  <c:v>27877.500000000022</c:v>
                </c:pt>
                <c:pt idx="96">
                  <c:v>28172.500000000022</c:v>
                </c:pt>
                <c:pt idx="97">
                  <c:v>28467.500000000022</c:v>
                </c:pt>
                <c:pt idx="98">
                  <c:v>28762.500000000022</c:v>
                </c:pt>
                <c:pt idx="99">
                  <c:v>29057.500000000022</c:v>
                </c:pt>
                <c:pt idx="100">
                  <c:v>29352.500000000022</c:v>
                </c:pt>
                <c:pt idx="101">
                  <c:v>29647.500000000022</c:v>
                </c:pt>
                <c:pt idx="102">
                  <c:v>29942.500000000022</c:v>
                </c:pt>
                <c:pt idx="103">
                  <c:v>30237.500000000022</c:v>
                </c:pt>
                <c:pt idx="104">
                  <c:v>30532.500000000022</c:v>
                </c:pt>
                <c:pt idx="105">
                  <c:v>30827.500000000022</c:v>
                </c:pt>
                <c:pt idx="106">
                  <c:v>31122.500000000022</c:v>
                </c:pt>
                <c:pt idx="107">
                  <c:v>31417.500000000025</c:v>
                </c:pt>
                <c:pt idx="108">
                  <c:v>31712.500000000025</c:v>
                </c:pt>
                <c:pt idx="109">
                  <c:v>32007.500000000025</c:v>
                </c:pt>
                <c:pt idx="110">
                  <c:v>32302.500000000025</c:v>
                </c:pt>
                <c:pt idx="111">
                  <c:v>32597.500000000025</c:v>
                </c:pt>
                <c:pt idx="112">
                  <c:v>32892.500000000022</c:v>
                </c:pt>
                <c:pt idx="113">
                  <c:v>33187.500000000022</c:v>
                </c:pt>
                <c:pt idx="114">
                  <c:v>33482.500000000029</c:v>
                </c:pt>
                <c:pt idx="115">
                  <c:v>33777.500000000029</c:v>
                </c:pt>
                <c:pt idx="116">
                  <c:v>34072.500000000029</c:v>
                </c:pt>
                <c:pt idx="117">
                  <c:v>34367.500000000029</c:v>
                </c:pt>
                <c:pt idx="118">
                  <c:v>34662.500000000029</c:v>
                </c:pt>
                <c:pt idx="119">
                  <c:v>34957.500000000029</c:v>
                </c:pt>
                <c:pt idx="120">
                  <c:v>35252.500000000029</c:v>
                </c:pt>
                <c:pt idx="121">
                  <c:v>35547.500000000029</c:v>
                </c:pt>
                <c:pt idx="122">
                  <c:v>35842.500000000029</c:v>
                </c:pt>
                <c:pt idx="123">
                  <c:v>36137.500000000029</c:v>
                </c:pt>
                <c:pt idx="124">
                  <c:v>36432.500000000029</c:v>
                </c:pt>
                <c:pt idx="125">
                  <c:v>36727.500000000029</c:v>
                </c:pt>
                <c:pt idx="126">
                  <c:v>37022.500000000022</c:v>
                </c:pt>
                <c:pt idx="127">
                  <c:v>37317.500000000022</c:v>
                </c:pt>
                <c:pt idx="128">
                  <c:v>37612.500000000022</c:v>
                </c:pt>
                <c:pt idx="129">
                  <c:v>37907.500000000029</c:v>
                </c:pt>
                <c:pt idx="130">
                  <c:v>38202.500000000029</c:v>
                </c:pt>
                <c:pt idx="131">
                  <c:v>38497.500000000029</c:v>
                </c:pt>
                <c:pt idx="132">
                  <c:v>38792.500000000029</c:v>
                </c:pt>
                <c:pt idx="133">
                  <c:v>39087.500000000029</c:v>
                </c:pt>
                <c:pt idx="134">
                  <c:v>39382.500000000029</c:v>
                </c:pt>
                <c:pt idx="135">
                  <c:v>39677.500000000029</c:v>
                </c:pt>
                <c:pt idx="136">
                  <c:v>39972.500000000029</c:v>
                </c:pt>
                <c:pt idx="137">
                  <c:v>40267.500000000029</c:v>
                </c:pt>
                <c:pt idx="138">
                  <c:v>40562.500000000029</c:v>
                </c:pt>
                <c:pt idx="139">
                  <c:v>40857.500000000029</c:v>
                </c:pt>
                <c:pt idx="140">
                  <c:v>41152.500000000029</c:v>
                </c:pt>
                <c:pt idx="141">
                  <c:v>41447.500000000029</c:v>
                </c:pt>
                <c:pt idx="142">
                  <c:v>41742.500000000029</c:v>
                </c:pt>
                <c:pt idx="143">
                  <c:v>42037.500000000029</c:v>
                </c:pt>
                <c:pt idx="144">
                  <c:v>42332.500000000029</c:v>
                </c:pt>
                <c:pt idx="145">
                  <c:v>42627.500000000029</c:v>
                </c:pt>
                <c:pt idx="146">
                  <c:v>42922.500000000029</c:v>
                </c:pt>
                <c:pt idx="147">
                  <c:v>43217.500000000029</c:v>
                </c:pt>
                <c:pt idx="148">
                  <c:v>43512.500000000029</c:v>
                </c:pt>
                <c:pt idx="149">
                  <c:v>43807.500000000029</c:v>
                </c:pt>
                <c:pt idx="150">
                  <c:v>44102.500000000029</c:v>
                </c:pt>
                <c:pt idx="151">
                  <c:v>44397.500000000029</c:v>
                </c:pt>
                <c:pt idx="152">
                  <c:v>44692.500000000029</c:v>
                </c:pt>
                <c:pt idx="153">
                  <c:v>44987.500000000029</c:v>
                </c:pt>
                <c:pt idx="154">
                  <c:v>45282.500000000029</c:v>
                </c:pt>
                <c:pt idx="155">
                  <c:v>45577.500000000029</c:v>
                </c:pt>
                <c:pt idx="156">
                  <c:v>45872.500000000029</c:v>
                </c:pt>
                <c:pt idx="157">
                  <c:v>46167.500000000036</c:v>
                </c:pt>
                <c:pt idx="158">
                  <c:v>46462.500000000036</c:v>
                </c:pt>
                <c:pt idx="159">
                  <c:v>46757.500000000036</c:v>
                </c:pt>
                <c:pt idx="160">
                  <c:v>47052.500000000036</c:v>
                </c:pt>
                <c:pt idx="161">
                  <c:v>47347.500000000036</c:v>
                </c:pt>
                <c:pt idx="162">
                  <c:v>47642.500000000036</c:v>
                </c:pt>
                <c:pt idx="163">
                  <c:v>47937.500000000036</c:v>
                </c:pt>
                <c:pt idx="164">
                  <c:v>48232.500000000036</c:v>
                </c:pt>
                <c:pt idx="165">
                  <c:v>48527.500000000036</c:v>
                </c:pt>
                <c:pt idx="166">
                  <c:v>48822.500000000036</c:v>
                </c:pt>
                <c:pt idx="167">
                  <c:v>49117.500000000036</c:v>
                </c:pt>
                <c:pt idx="168">
                  <c:v>49412.500000000036</c:v>
                </c:pt>
                <c:pt idx="169">
                  <c:v>49707.500000000036</c:v>
                </c:pt>
                <c:pt idx="170">
                  <c:v>50002.500000000036</c:v>
                </c:pt>
                <c:pt idx="171">
                  <c:v>50297.500000000036</c:v>
                </c:pt>
                <c:pt idx="172">
                  <c:v>50592.500000000036</c:v>
                </c:pt>
                <c:pt idx="173">
                  <c:v>50887.500000000036</c:v>
                </c:pt>
                <c:pt idx="174">
                  <c:v>51182.500000000036</c:v>
                </c:pt>
                <c:pt idx="175">
                  <c:v>51477.500000000036</c:v>
                </c:pt>
                <c:pt idx="176">
                  <c:v>51772.500000000036</c:v>
                </c:pt>
                <c:pt idx="177">
                  <c:v>52067.500000000036</c:v>
                </c:pt>
                <c:pt idx="178">
                  <c:v>52362.500000000036</c:v>
                </c:pt>
                <c:pt idx="179">
                  <c:v>52657.500000000036</c:v>
                </c:pt>
                <c:pt idx="180">
                  <c:v>52952.500000000036</c:v>
                </c:pt>
                <c:pt idx="181">
                  <c:v>53247.500000000036</c:v>
                </c:pt>
                <c:pt idx="182">
                  <c:v>53542.500000000036</c:v>
                </c:pt>
                <c:pt idx="183">
                  <c:v>53837.500000000036</c:v>
                </c:pt>
                <c:pt idx="184">
                  <c:v>54132.500000000036</c:v>
                </c:pt>
                <c:pt idx="185">
                  <c:v>54427.500000000044</c:v>
                </c:pt>
                <c:pt idx="186">
                  <c:v>54722.500000000044</c:v>
                </c:pt>
                <c:pt idx="187">
                  <c:v>55017.500000000044</c:v>
                </c:pt>
                <c:pt idx="188">
                  <c:v>55312.500000000044</c:v>
                </c:pt>
                <c:pt idx="189">
                  <c:v>55607.500000000044</c:v>
                </c:pt>
                <c:pt idx="190">
                  <c:v>55902.500000000044</c:v>
                </c:pt>
                <c:pt idx="191">
                  <c:v>56197.500000000044</c:v>
                </c:pt>
                <c:pt idx="192">
                  <c:v>56492.500000000044</c:v>
                </c:pt>
                <c:pt idx="193">
                  <c:v>56787.500000000044</c:v>
                </c:pt>
                <c:pt idx="194">
                  <c:v>57082.500000000044</c:v>
                </c:pt>
                <c:pt idx="195">
                  <c:v>57377.500000000044</c:v>
                </c:pt>
                <c:pt idx="196">
                  <c:v>57672.500000000044</c:v>
                </c:pt>
                <c:pt idx="197">
                  <c:v>57967.500000000044</c:v>
                </c:pt>
                <c:pt idx="198">
                  <c:v>58262.500000000044</c:v>
                </c:pt>
                <c:pt idx="199">
                  <c:v>58557.500000000044</c:v>
                </c:pt>
                <c:pt idx="200">
                  <c:v>58852.500000000044</c:v>
                </c:pt>
                <c:pt idx="201">
                  <c:v>59147.500000000044</c:v>
                </c:pt>
                <c:pt idx="202">
                  <c:v>59442.500000000044</c:v>
                </c:pt>
                <c:pt idx="203">
                  <c:v>59737.500000000044</c:v>
                </c:pt>
                <c:pt idx="204">
                  <c:v>60032.500000000044</c:v>
                </c:pt>
                <c:pt idx="205">
                  <c:v>60327.500000000044</c:v>
                </c:pt>
                <c:pt idx="206">
                  <c:v>60622.500000000044</c:v>
                </c:pt>
                <c:pt idx="207">
                  <c:v>60917.500000000044</c:v>
                </c:pt>
                <c:pt idx="208">
                  <c:v>61212.500000000044</c:v>
                </c:pt>
                <c:pt idx="209">
                  <c:v>61507.500000000044</c:v>
                </c:pt>
                <c:pt idx="210">
                  <c:v>61802.500000000044</c:v>
                </c:pt>
                <c:pt idx="211">
                  <c:v>62097.500000000044</c:v>
                </c:pt>
                <c:pt idx="212">
                  <c:v>62392.500000000044</c:v>
                </c:pt>
                <c:pt idx="213">
                  <c:v>62687.500000000051</c:v>
                </c:pt>
                <c:pt idx="214">
                  <c:v>62982.500000000051</c:v>
                </c:pt>
                <c:pt idx="215">
                  <c:v>63277.500000000051</c:v>
                </c:pt>
                <c:pt idx="216">
                  <c:v>63572.500000000051</c:v>
                </c:pt>
                <c:pt idx="217">
                  <c:v>63867.500000000051</c:v>
                </c:pt>
                <c:pt idx="218">
                  <c:v>64162.500000000051</c:v>
                </c:pt>
                <c:pt idx="219">
                  <c:v>64457.500000000051</c:v>
                </c:pt>
                <c:pt idx="220">
                  <c:v>64752.500000000051</c:v>
                </c:pt>
                <c:pt idx="221">
                  <c:v>65047.500000000051</c:v>
                </c:pt>
                <c:pt idx="222">
                  <c:v>65342.500000000051</c:v>
                </c:pt>
                <c:pt idx="223">
                  <c:v>65637.500000000044</c:v>
                </c:pt>
                <c:pt idx="224">
                  <c:v>65932.500000000044</c:v>
                </c:pt>
                <c:pt idx="225">
                  <c:v>66227.500000000044</c:v>
                </c:pt>
                <c:pt idx="226">
                  <c:v>66522.500000000044</c:v>
                </c:pt>
                <c:pt idx="227">
                  <c:v>66817.500000000058</c:v>
                </c:pt>
                <c:pt idx="228">
                  <c:v>67112.500000000058</c:v>
                </c:pt>
                <c:pt idx="229">
                  <c:v>67407.500000000058</c:v>
                </c:pt>
                <c:pt idx="230">
                  <c:v>67702.500000000058</c:v>
                </c:pt>
                <c:pt idx="231">
                  <c:v>67997.500000000058</c:v>
                </c:pt>
                <c:pt idx="232">
                  <c:v>68292.500000000058</c:v>
                </c:pt>
                <c:pt idx="233">
                  <c:v>68587.500000000058</c:v>
                </c:pt>
                <c:pt idx="234">
                  <c:v>68882.500000000058</c:v>
                </c:pt>
                <c:pt idx="235">
                  <c:v>69177.500000000058</c:v>
                </c:pt>
                <c:pt idx="236">
                  <c:v>69472.500000000058</c:v>
                </c:pt>
                <c:pt idx="237">
                  <c:v>69767.500000000058</c:v>
                </c:pt>
                <c:pt idx="238">
                  <c:v>70062.500000000058</c:v>
                </c:pt>
                <c:pt idx="239">
                  <c:v>70357.500000000058</c:v>
                </c:pt>
                <c:pt idx="240">
                  <c:v>70652.500000000058</c:v>
                </c:pt>
                <c:pt idx="241">
                  <c:v>70947.500000000058</c:v>
                </c:pt>
                <c:pt idx="242">
                  <c:v>71242.500000000058</c:v>
                </c:pt>
                <c:pt idx="243">
                  <c:v>71537.500000000058</c:v>
                </c:pt>
                <c:pt idx="244">
                  <c:v>71832.500000000058</c:v>
                </c:pt>
                <c:pt idx="245">
                  <c:v>72127.500000000058</c:v>
                </c:pt>
                <c:pt idx="246">
                  <c:v>72422.500000000058</c:v>
                </c:pt>
                <c:pt idx="247">
                  <c:v>72717.500000000058</c:v>
                </c:pt>
                <c:pt idx="248">
                  <c:v>73012.500000000058</c:v>
                </c:pt>
                <c:pt idx="249">
                  <c:v>73307.500000000058</c:v>
                </c:pt>
                <c:pt idx="250">
                  <c:v>73602.500000000058</c:v>
                </c:pt>
                <c:pt idx="251">
                  <c:v>73897.500000000044</c:v>
                </c:pt>
                <c:pt idx="252">
                  <c:v>74192.500000000044</c:v>
                </c:pt>
                <c:pt idx="253">
                  <c:v>74487.500000000044</c:v>
                </c:pt>
                <c:pt idx="254">
                  <c:v>74782.500000000044</c:v>
                </c:pt>
                <c:pt idx="255">
                  <c:v>75077.500000000044</c:v>
                </c:pt>
                <c:pt idx="256">
                  <c:v>75372.500000000044</c:v>
                </c:pt>
                <c:pt idx="257">
                  <c:v>75667.500000000044</c:v>
                </c:pt>
                <c:pt idx="258">
                  <c:v>75962.500000000058</c:v>
                </c:pt>
                <c:pt idx="259">
                  <c:v>76257.500000000058</c:v>
                </c:pt>
                <c:pt idx="260">
                  <c:v>76552.500000000058</c:v>
                </c:pt>
                <c:pt idx="261">
                  <c:v>76847.500000000058</c:v>
                </c:pt>
                <c:pt idx="262">
                  <c:v>77142.500000000058</c:v>
                </c:pt>
                <c:pt idx="263">
                  <c:v>77437.500000000058</c:v>
                </c:pt>
                <c:pt idx="264">
                  <c:v>77732.500000000058</c:v>
                </c:pt>
                <c:pt idx="265">
                  <c:v>78027.500000000058</c:v>
                </c:pt>
                <c:pt idx="266">
                  <c:v>78322.500000000058</c:v>
                </c:pt>
                <c:pt idx="267">
                  <c:v>78617.500000000058</c:v>
                </c:pt>
                <c:pt idx="268">
                  <c:v>78912.500000000058</c:v>
                </c:pt>
                <c:pt idx="269">
                  <c:v>79207.500000000058</c:v>
                </c:pt>
                <c:pt idx="270">
                  <c:v>79502.500000000058</c:v>
                </c:pt>
                <c:pt idx="271">
                  <c:v>79797.500000000058</c:v>
                </c:pt>
                <c:pt idx="272">
                  <c:v>80092.500000000058</c:v>
                </c:pt>
                <c:pt idx="273">
                  <c:v>80387.500000000058</c:v>
                </c:pt>
                <c:pt idx="274">
                  <c:v>80682.500000000058</c:v>
                </c:pt>
                <c:pt idx="275">
                  <c:v>80977.500000000058</c:v>
                </c:pt>
                <c:pt idx="276">
                  <c:v>81272.500000000058</c:v>
                </c:pt>
                <c:pt idx="277">
                  <c:v>81567.500000000058</c:v>
                </c:pt>
                <c:pt idx="278">
                  <c:v>81862.500000000058</c:v>
                </c:pt>
                <c:pt idx="279">
                  <c:v>82157.500000000058</c:v>
                </c:pt>
                <c:pt idx="280">
                  <c:v>82452.500000000058</c:v>
                </c:pt>
                <c:pt idx="281">
                  <c:v>82747.500000000058</c:v>
                </c:pt>
                <c:pt idx="282">
                  <c:v>83042.500000000058</c:v>
                </c:pt>
                <c:pt idx="283">
                  <c:v>83337.500000000058</c:v>
                </c:pt>
                <c:pt idx="284">
                  <c:v>83632.500000000058</c:v>
                </c:pt>
                <c:pt idx="285">
                  <c:v>83927.500000000058</c:v>
                </c:pt>
                <c:pt idx="286">
                  <c:v>84222.500000000058</c:v>
                </c:pt>
                <c:pt idx="287">
                  <c:v>84517.500000000058</c:v>
                </c:pt>
                <c:pt idx="288">
                  <c:v>84812.500000000058</c:v>
                </c:pt>
                <c:pt idx="289">
                  <c:v>85107.500000000058</c:v>
                </c:pt>
                <c:pt idx="290">
                  <c:v>85402.500000000058</c:v>
                </c:pt>
                <c:pt idx="291">
                  <c:v>85697.500000000058</c:v>
                </c:pt>
                <c:pt idx="292">
                  <c:v>85992.500000000058</c:v>
                </c:pt>
                <c:pt idx="293">
                  <c:v>86287.500000000058</c:v>
                </c:pt>
                <c:pt idx="294">
                  <c:v>86582.500000000058</c:v>
                </c:pt>
                <c:pt idx="295">
                  <c:v>86877.500000000058</c:v>
                </c:pt>
                <c:pt idx="296">
                  <c:v>87172.500000000058</c:v>
                </c:pt>
                <c:pt idx="297">
                  <c:v>87467.500000000058</c:v>
                </c:pt>
                <c:pt idx="298">
                  <c:v>87762.500000000058</c:v>
                </c:pt>
                <c:pt idx="299">
                  <c:v>88057.500000000058</c:v>
                </c:pt>
                <c:pt idx="300">
                  <c:v>88352.500000000058</c:v>
                </c:pt>
                <c:pt idx="301">
                  <c:v>88647.500000000058</c:v>
                </c:pt>
                <c:pt idx="302">
                  <c:v>88942.500000000058</c:v>
                </c:pt>
                <c:pt idx="303">
                  <c:v>89237.500000000058</c:v>
                </c:pt>
                <c:pt idx="304">
                  <c:v>89532.500000000058</c:v>
                </c:pt>
                <c:pt idx="305">
                  <c:v>89827.500000000058</c:v>
                </c:pt>
                <c:pt idx="306">
                  <c:v>90122.500000000058</c:v>
                </c:pt>
                <c:pt idx="307">
                  <c:v>90417.500000000058</c:v>
                </c:pt>
                <c:pt idx="308">
                  <c:v>90712.500000000058</c:v>
                </c:pt>
                <c:pt idx="309">
                  <c:v>91007.500000000058</c:v>
                </c:pt>
                <c:pt idx="310">
                  <c:v>91302.500000000058</c:v>
                </c:pt>
                <c:pt idx="311">
                  <c:v>91597.500000000058</c:v>
                </c:pt>
                <c:pt idx="312">
                  <c:v>91892.500000000058</c:v>
                </c:pt>
                <c:pt idx="313">
                  <c:v>92187.500000000073</c:v>
                </c:pt>
                <c:pt idx="314">
                  <c:v>92482.500000000073</c:v>
                </c:pt>
                <c:pt idx="315">
                  <c:v>92777.500000000073</c:v>
                </c:pt>
                <c:pt idx="316">
                  <c:v>93072.500000000073</c:v>
                </c:pt>
                <c:pt idx="317">
                  <c:v>93367.500000000073</c:v>
                </c:pt>
                <c:pt idx="318">
                  <c:v>93662.500000000073</c:v>
                </c:pt>
                <c:pt idx="319">
                  <c:v>93957.500000000073</c:v>
                </c:pt>
                <c:pt idx="320">
                  <c:v>94252.500000000073</c:v>
                </c:pt>
                <c:pt idx="321">
                  <c:v>94547.500000000073</c:v>
                </c:pt>
                <c:pt idx="322">
                  <c:v>94842.500000000073</c:v>
                </c:pt>
                <c:pt idx="323">
                  <c:v>95137.500000000073</c:v>
                </c:pt>
                <c:pt idx="324">
                  <c:v>95432.500000000073</c:v>
                </c:pt>
                <c:pt idx="325">
                  <c:v>95727.500000000073</c:v>
                </c:pt>
                <c:pt idx="326">
                  <c:v>96022.500000000073</c:v>
                </c:pt>
                <c:pt idx="327">
                  <c:v>96317.500000000073</c:v>
                </c:pt>
                <c:pt idx="328">
                  <c:v>96612.500000000073</c:v>
                </c:pt>
                <c:pt idx="329">
                  <c:v>96907.500000000073</c:v>
                </c:pt>
                <c:pt idx="330">
                  <c:v>97202.500000000073</c:v>
                </c:pt>
                <c:pt idx="331">
                  <c:v>97497.500000000073</c:v>
                </c:pt>
                <c:pt idx="332">
                  <c:v>97792.500000000073</c:v>
                </c:pt>
                <c:pt idx="333">
                  <c:v>98087.500000000073</c:v>
                </c:pt>
                <c:pt idx="334">
                  <c:v>98382.500000000073</c:v>
                </c:pt>
                <c:pt idx="335">
                  <c:v>98677.500000000073</c:v>
                </c:pt>
                <c:pt idx="336">
                  <c:v>98972.500000000073</c:v>
                </c:pt>
                <c:pt idx="337">
                  <c:v>99267.500000000073</c:v>
                </c:pt>
                <c:pt idx="338">
                  <c:v>99562.500000000073</c:v>
                </c:pt>
                <c:pt idx="339">
                  <c:v>99857.500000000073</c:v>
                </c:pt>
                <c:pt idx="340">
                  <c:v>100152.50000000007</c:v>
                </c:pt>
                <c:pt idx="341">
                  <c:v>100447.50000000007</c:v>
                </c:pt>
                <c:pt idx="342">
                  <c:v>100742.50000000007</c:v>
                </c:pt>
                <c:pt idx="343">
                  <c:v>101037.50000000007</c:v>
                </c:pt>
                <c:pt idx="344">
                  <c:v>101332.50000000007</c:v>
                </c:pt>
                <c:pt idx="345">
                  <c:v>101627.50000000007</c:v>
                </c:pt>
                <c:pt idx="346">
                  <c:v>101922.50000000007</c:v>
                </c:pt>
                <c:pt idx="347">
                  <c:v>102217.50000000007</c:v>
                </c:pt>
                <c:pt idx="348">
                  <c:v>102512.50000000007</c:v>
                </c:pt>
                <c:pt idx="349">
                  <c:v>102807.50000000007</c:v>
                </c:pt>
                <c:pt idx="350">
                  <c:v>103102.50000000007</c:v>
                </c:pt>
                <c:pt idx="351">
                  <c:v>103397.50000000007</c:v>
                </c:pt>
                <c:pt idx="352">
                  <c:v>103692.50000000007</c:v>
                </c:pt>
                <c:pt idx="353">
                  <c:v>103987.50000000007</c:v>
                </c:pt>
                <c:pt idx="354">
                  <c:v>104282.50000000007</c:v>
                </c:pt>
                <c:pt idx="355">
                  <c:v>104577.50000000007</c:v>
                </c:pt>
                <c:pt idx="356">
                  <c:v>104872.50000000007</c:v>
                </c:pt>
                <c:pt idx="357">
                  <c:v>105167.50000000007</c:v>
                </c:pt>
                <c:pt idx="358">
                  <c:v>105462.50000000007</c:v>
                </c:pt>
                <c:pt idx="359">
                  <c:v>105757.50000000007</c:v>
                </c:pt>
                <c:pt idx="360">
                  <c:v>106052.50000000007</c:v>
                </c:pt>
                <c:pt idx="361">
                  <c:v>106347.50000000007</c:v>
                </c:pt>
                <c:pt idx="362">
                  <c:v>106642.50000000007</c:v>
                </c:pt>
                <c:pt idx="363">
                  <c:v>106937.50000000007</c:v>
                </c:pt>
                <c:pt idx="364">
                  <c:v>107232.50000000007</c:v>
                </c:pt>
                <c:pt idx="365">
                  <c:v>107527.50000000007</c:v>
                </c:pt>
                <c:pt idx="366">
                  <c:v>107822.50000000007</c:v>
                </c:pt>
                <c:pt idx="367">
                  <c:v>108117.50000000007</c:v>
                </c:pt>
                <c:pt idx="368">
                  <c:v>108412.50000000007</c:v>
                </c:pt>
                <c:pt idx="369">
                  <c:v>108707.50000000009</c:v>
                </c:pt>
                <c:pt idx="370">
                  <c:v>109002.50000000009</c:v>
                </c:pt>
                <c:pt idx="371">
                  <c:v>109297.50000000009</c:v>
                </c:pt>
                <c:pt idx="372">
                  <c:v>109592.50000000009</c:v>
                </c:pt>
                <c:pt idx="373">
                  <c:v>109887.50000000009</c:v>
                </c:pt>
                <c:pt idx="374">
                  <c:v>110182.50000000009</c:v>
                </c:pt>
                <c:pt idx="375">
                  <c:v>110477.50000000009</c:v>
                </c:pt>
                <c:pt idx="376">
                  <c:v>110772.50000000009</c:v>
                </c:pt>
                <c:pt idx="377">
                  <c:v>111067.50000000009</c:v>
                </c:pt>
                <c:pt idx="378">
                  <c:v>111362.50000000009</c:v>
                </c:pt>
                <c:pt idx="379">
                  <c:v>111657.50000000009</c:v>
                </c:pt>
                <c:pt idx="380">
                  <c:v>111952.50000000009</c:v>
                </c:pt>
                <c:pt idx="381">
                  <c:v>112247.50000000009</c:v>
                </c:pt>
                <c:pt idx="382">
                  <c:v>112542.50000000009</c:v>
                </c:pt>
                <c:pt idx="383">
                  <c:v>112837.50000000009</c:v>
                </c:pt>
                <c:pt idx="384">
                  <c:v>113132.50000000009</c:v>
                </c:pt>
                <c:pt idx="385">
                  <c:v>113427.50000000009</c:v>
                </c:pt>
                <c:pt idx="386">
                  <c:v>113722.50000000009</c:v>
                </c:pt>
                <c:pt idx="387">
                  <c:v>114017.50000000009</c:v>
                </c:pt>
                <c:pt idx="388">
                  <c:v>114312.50000000009</c:v>
                </c:pt>
                <c:pt idx="389">
                  <c:v>114607.50000000009</c:v>
                </c:pt>
                <c:pt idx="390">
                  <c:v>114902.50000000009</c:v>
                </c:pt>
                <c:pt idx="391">
                  <c:v>115197.50000000009</c:v>
                </c:pt>
                <c:pt idx="392">
                  <c:v>115492.50000000009</c:v>
                </c:pt>
                <c:pt idx="393">
                  <c:v>115787.50000000009</c:v>
                </c:pt>
                <c:pt idx="394">
                  <c:v>116082.50000000009</c:v>
                </c:pt>
                <c:pt idx="395">
                  <c:v>116377.50000000009</c:v>
                </c:pt>
                <c:pt idx="396">
                  <c:v>116672.50000000009</c:v>
                </c:pt>
                <c:pt idx="397">
                  <c:v>116967.50000000009</c:v>
                </c:pt>
                <c:pt idx="398">
                  <c:v>117262.50000000009</c:v>
                </c:pt>
                <c:pt idx="399">
                  <c:v>117557.50000000009</c:v>
                </c:pt>
                <c:pt idx="400">
                  <c:v>117852.50000000009</c:v>
                </c:pt>
                <c:pt idx="401">
                  <c:v>118147.50000000009</c:v>
                </c:pt>
                <c:pt idx="402">
                  <c:v>118442.50000000009</c:v>
                </c:pt>
                <c:pt idx="403">
                  <c:v>118737.50000000009</c:v>
                </c:pt>
                <c:pt idx="404">
                  <c:v>119032.50000000009</c:v>
                </c:pt>
                <c:pt idx="405">
                  <c:v>119327.50000000009</c:v>
                </c:pt>
                <c:pt idx="406">
                  <c:v>119622.50000000009</c:v>
                </c:pt>
                <c:pt idx="407">
                  <c:v>119917.50000000009</c:v>
                </c:pt>
                <c:pt idx="408">
                  <c:v>120212.50000000009</c:v>
                </c:pt>
                <c:pt idx="409">
                  <c:v>120507.50000000009</c:v>
                </c:pt>
                <c:pt idx="410">
                  <c:v>120802.50000000009</c:v>
                </c:pt>
                <c:pt idx="411">
                  <c:v>121097.50000000009</c:v>
                </c:pt>
                <c:pt idx="412">
                  <c:v>121392.50000000009</c:v>
                </c:pt>
                <c:pt idx="413">
                  <c:v>121687.50000000009</c:v>
                </c:pt>
                <c:pt idx="414">
                  <c:v>121982.50000000009</c:v>
                </c:pt>
                <c:pt idx="415">
                  <c:v>122277.50000000009</c:v>
                </c:pt>
                <c:pt idx="416">
                  <c:v>122572.50000000009</c:v>
                </c:pt>
                <c:pt idx="417">
                  <c:v>122867.50000000009</c:v>
                </c:pt>
                <c:pt idx="418">
                  <c:v>123162.50000000009</c:v>
                </c:pt>
                <c:pt idx="419">
                  <c:v>123457.50000000009</c:v>
                </c:pt>
                <c:pt idx="420">
                  <c:v>123752.50000000009</c:v>
                </c:pt>
                <c:pt idx="421">
                  <c:v>124047.50000000009</c:v>
                </c:pt>
              </c:numCache>
            </c:numRef>
          </c:xVal>
          <c:yVal>
            <c:numRef>
              <c:f>'Credit Portfolio'!$Z$5:$Z$426</c:f>
              <c:numCache>
                <c:formatCode>0.00000</c:formatCode>
                <c:ptCount val="422"/>
                <c:pt idx="0">
                  <c:v>0.89189404203736011</c:v>
                </c:pt>
                <c:pt idx="1">
                  <c:v>0.83213863914073838</c:v>
                </c:pt>
                <c:pt idx="2">
                  <c:v>0.70139428039794127</c:v>
                </c:pt>
                <c:pt idx="3">
                  <c:v>0.58148342827850741</c:v>
                </c:pt>
                <c:pt idx="4">
                  <c:v>0.48015702770962831</c:v>
                </c:pt>
                <c:pt idx="5">
                  <c:v>0.39680774377368316</c:v>
                </c:pt>
                <c:pt idx="6">
                  <c:v>0.32877893269980479</c:v>
                </c:pt>
                <c:pt idx="7">
                  <c:v>0.27342374256366836</c:v>
                </c:pt>
                <c:pt idx="8">
                  <c:v>0.22824693597621135</c:v>
                </c:pt>
                <c:pt idx="9">
                  <c:v>0.19118936975058234</c:v>
                </c:pt>
                <c:pt idx="10">
                  <c:v>0.16075101082872842</c:v>
                </c:pt>
                <c:pt idx="11">
                  <c:v>0.13571902259719976</c:v>
                </c:pt>
                <c:pt idx="12">
                  <c:v>0.11501517746856682</c:v>
                </c:pt>
                <c:pt idx="13">
                  <c:v>9.7746115383725685E-2</c:v>
                </c:pt>
                <c:pt idx="14">
                  <c:v>8.3253888563907086E-2</c:v>
                </c:pt>
                <c:pt idx="15">
                  <c:v>7.1075847401081679E-2</c:v>
                </c:pt>
                <c:pt idx="16">
                  <c:v>6.0859393134936622E-2</c:v>
                </c:pt>
                <c:pt idx="17">
                  <c:v>5.22964253240999E-2</c:v>
                </c:pt>
                <c:pt idx="18">
                  <c:v>4.5100337389049852E-2</c:v>
                </c:pt>
                <c:pt idx="19">
                  <c:v>3.9012657505120674E-2</c:v>
                </c:pt>
                <c:pt idx="20">
                  <c:v>3.3817270830878154E-2</c:v>
                </c:pt>
                <c:pt idx="21">
                  <c:v>2.9347588685299342E-2</c:v>
                </c:pt>
                <c:pt idx="22">
                  <c:v>2.5483016814888182E-2</c:v>
                </c:pt>
                <c:pt idx="23">
                  <c:v>2.2138040633542917E-2</c:v>
                </c:pt>
                <c:pt idx="24">
                  <c:v>1.9249229082162481E-2</c:v>
                </c:pt>
                <c:pt idx="25">
                  <c:v>1.676430769523523E-2</c:v>
                </c:pt>
                <c:pt idx="26">
                  <c:v>1.4635220237516941E-2</c:v>
                </c:pt>
                <c:pt idx="27">
                  <c:v>1.2815173901907955E-2</c:v>
                </c:pt>
                <c:pt idx="28">
                  <c:v>1.1258571654650409E-2</c:v>
                </c:pt>
                <c:pt idx="29">
                  <c:v>9.9224376796325214E-3</c:v>
                </c:pt>
                <c:pt idx="30">
                  <c:v>8.7681738351027844E-3</c:v>
                </c:pt>
                <c:pt idx="31">
                  <c:v>7.76286290390997E-3</c:v>
                </c:pt>
                <c:pt idx="32">
                  <c:v>6.8798392060940312E-3</c:v>
                </c:pt>
                <c:pt idx="33">
                  <c:v>6.0984933916462198E-3</c:v>
                </c:pt>
                <c:pt idx="34">
                  <c:v>5.4035069571779721E-3</c:v>
                </c:pt>
                <c:pt idx="35">
                  <c:v>4.7837679055908041E-3</c:v>
                </c:pt>
                <c:pt idx="36">
                  <c:v>4.2312038227725127E-3</c:v>
                </c:pt>
                <c:pt idx="37">
                  <c:v>3.7397122823205164E-3</c:v>
                </c:pt>
                <c:pt idx="38">
                  <c:v>3.3042970140201027E-3</c:v>
                </c:pt>
                <c:pt idx="39">
                  <c:v>2.9204523192142597E-3</c:v>
                </c:pt>
                <c:pt idx="40">
                  <c:v>2.583788195830931E-3</c:v>
                </c:pt>
                <c:pt idx="41">
                  <c:v>2.289857417549692E-3</c:v>
                </c:pt>
                <c:pt idx="42">
                  <c:v>2.0341315394158967E-3</c:v>
                </c:pt>
                <c:pt idx="43">
                  <c:v>1.8120713352238016E-3</c:v>
                </c:pt>
                <c:pt idx="44">
                  <c:v>1.6192438627615721E-3</c:v>
                </c:pt>
                <c:pt idx="45">
                  <c:v>1.4514491089090799E-3</c:v>
                </c:pt>
                <c:pt idx="46">
                  <c:v>1.3048309064551727E-3</c:v>
                </c:pt>
                <c:pt idx="47">
                  <c:v>1.1759577814409042E-3</c:v>
                </c:pt>
                <c:pt idx="48">
                  <c:v>1.06186926139099E-3</c:v>
                </c:pt>
                <c:pt idx="49">
                  <c:v>9.6008537805795208E-4</c:v>
                </c:pt>
                <c:pt idx="50">
                  <c:v>8.685885882588288E-4</c:v>
                </c:pt>
                <c:pt idx="51">
                  <c:v>7.8578258822142616E-4</c:v>
                </c:pt>
                <c:pt idx="52">
                  <c:v>7.1043650034938719E-4</c:v>
                </c:pt>
                <c:pt idx="53">
                  <c:v>6.416220301262381E-4</c:v>
                </c:pt>
                <c:pt idx="54">
                  <c:v>5.7864971152432436E-4</c:v>
                </c:pt>
                <c:pt idx="55">
                  <c:v>5.2100895044258997E-4</c:v>
                </c:pt>
                <c:pt idx="56">
                  <c:v>4.6831506571427296E-4</c:v>
                </c:pt>
                <c:pt idx="57">
                  <c:v>4.202651271778027E-4</c:v>
                </c:pt>
                <c:pt idx="58">
                  <c:v>3.7660321846627538E-4</c:v>
                </c:pt>
                <c:pt idx="59" formatCode="0.000000">
                  <c:v>3.3709485825199483E-4</c:v>
                </c:pt>
                <c:pt idx="60" formatCode="0.000000">
                  <c:v>3.0150969928760112E-4</c:v>
                </c:pt>
                <c:pt idx="61" formatCode="0.000000">
                  <c:v>2.6961126078823097E-4</c:v>
                </c:pt>
                <c:pt idx="62" formatCode="0.000000">
                  <c:v>2.4115229143466377E-4</c:v>
                </c:pt>
                <c:pt idx="63">
                  <c:v>2.1587435722245321E-4</c:v>
                </c:pt>
                <c:pt idx="64">
                  <c:v>1.9351035235291132E-4</c:v>
                </c:pt>
                <c:pt idx="65">
                  <c:v>1.7378880063014909E-4</c:v>
                </c:pt>
                <c:pt idx="66">
                  <c:v>1.5643901600605415E-4</c:v>
                </c:pt>
                <c:pt idx="67">
                  <c:v>1.4119639913879467E-4</c:v>
                </c:pt>
                <c:pt idx="68">
                  <c:v>1.2780734492223969E-4</c:v>
                </c:pt>
                <c:pt idx="69">
                  <c:v>1.160334130856611E-4</c:v>
                </c:pt>
                <c:pt idx="70">
                  <c:v>1.0565456425708202E-4</c:v>
                </c:pt>
                <c:pt idx="71">
                  <c:v>9.6471385008095234E-5</c:v>
                </c:pt>
                <c:pt idx="72">
                  <c:v>8.8306317445024888E-5</c:v>
                </c:pt>
                <c:pt idx="73">
                  <c:v>8.100397339118452E-5</c:v>
                </c:pt>
                <c:pt idx="74" formatCode="0.0000000">
                  <c:v>7.44307034079891E-5</c:v>
                </c:pt>
                <c:pt idx="75" formatCode="0.00000000">
                  <c:v>6.847348663423762E-5</c:v>
                </c:pt>
                <c:pt idx="76" formatCode="0.00000000">
                  <c:v>6.3038335257107993E-5</c:v>
                </c:pt>
                <c:pt idx="77" formatCode="0.00000000">
                  <c:v>5.8048431694026016E-5</c:v>
                </c:pt>
                <c:pt idx="78" formatCode="0.00000000">
                  <c:v>5.3442044136258336E-5</c:v>
                </c:pt>
                <c:pt idx="79" formatCode="0.00000000">
                  <c:v>4.9170380158175818E-5</c:v>
                </c:pt>
                <c:pt idx="80" formatCode="0.00000000">
                  <c:v>4.5195477429115776E-5</c:v>
                </c:pt>
                <c:pt idx="81" formatCode="0.00000000">
                  <c:v>4.1488206056487994E-5</c:v>
                </c:pt>
                <c:pt idx="82" formatCode="0.00000000">
                  <c:v>3.8026436678730425E-5</c:v>
                </c:pt>
                <c:pt idx="83" formatCode="0.00000000">
                  <c:v>3.4793409419694603E-5</c:v>
                </c:pt>
                <c:pt idx="84" formatCode="0.00000000">
                  <c:v>3.1776322209241508E-5</c:v>
                </c:pt>
                <c:pt idx="85">
                  <c:v>2.8965143243279944E-5</c:v>
                </c:pt>
                <c:pt idx="86">
                  <c:v>2.6351641610605593E-5</c:v>
                </c:pt>
                <c:pt idx="87">
                  <c:v>2.3928622217599227E-5</c:v>
                </c:pt>
                <c:pt idx="88">
                  <c:v>2.1689345804153387E-5</c:v>
                </c:pt>
                <c:pt idx="89">
                  <c:v>1.9627111690450414E-5</c:v>
                </c:pt>
                <c:pt idx="90">
                  <c:v>1.7734979519655362E-5</c:v>
                </c:pt>
                <c:pt idx="91">
                  <c:v>1.6005606269649365E-5</c:v>
                </c:pt>
                <c:pt idx="92">
                  <c:v>1.4431175834292801E-5</c:v>
                </c:pt>
                <c:pt idx="93">
                  <c:v>1.3003400205510293E-5</c:v>
                </c:pt>
                <c:pt idx="94">
                  <c:v>1.1713573459100921E-5</c:v>
                </c:pt>
                <c:pt idx="95">
                  <c:v>1.0552662149928126E-5</c:v>
                </c:pt>
                <c:pt idx="96">
                  <c:v>9.5114181951283621E-6</c:v>
                </c:pt>
                <c:pt idx="97">
                  <c:v>8.5805027486947911E-6</c:v>
                </c:pt>
                <c:pt idx="98">
                  <c:v>7.7506118639827542E-6</c:v>
                </c:pt>
                <c:pt idx="99">
                  <c:v>7.0125968473037914E-6</c:v>
                </c:pt>
                <c:pt idx="100">
                  <c:v>6.3575740926765739E-6</c:v>
                </c:pt>
                <c:pt idx="101">
                  <c:v>5.7770208384064533E-6</c:v>
                </c:pt>
                <c:pt idx="102">
                  <c:v>5.2628546961693338E-6</c:v>
                </c:pt>
                <c:pt idx="103">
                  <c:v>4.8074959773359344E-6</c:v>
                </c:pt>
                <c:pt idx="104">
                  <c:v>4.4039127904767918E-6</c:v>
                </c:pt>
                <c:pt idx="105">
                  <c:v>4.0456496239432127E-6</c:v>
                </c:pt>
                <c:pt idx="106">
                  <c:v>3.7268406767652424E-6</c:v>
                </c:pt>
                <c:pt idx="107">
                  <c:v>3.4422095802969112E-6</c:v>
                </c:pt>
                <c:pt idx="108">
                  <c:v>3.1870573832414536E-6</c:v>
                </c:pt>
                <c:pt idx="109">
                  <c:v>2.9572407746980103E-6</c:v>
                </c:pt>
                <c:pt idx="110">
                  <c:v>2.7491425128842669E-6</c:v>
                </c:pt>
                <c:pt idx="111">
                  <c:v>2.5596362197433114E-6</c:v>
                </c:pt>
                <c:pt idx="112">
                  <c:v>2.386047884965874E-6</c:v>
                </c:pt>
                <c:pt idx="113">
                  <c:v>2.2261128609988198E-6</c:v>
                </c:pt>
                <c:pt idx="114">
                  <c:v>2.0779335514765779E-6</c:v>
                </c:pt>
                <c:pt idx="115">
                  <c:v>1.939937299373847E-6</c:v>
                </c:pt>
                <c:pt idx="116">
                  <c:v>1.8108349747995442E-6</c:v>
                </c:pt>
                <c:pt idx="117">
                  <c:v>1.6895815950361604E-6</c:v>
                </c:pt>
                <c:pt idx="118">
                  <c:v>1.5753395154439787E-6</c:v>
                </c:pt>
                <c:pt idx="119">
                  <c:v>1.4674445708876052E-6</c:v>
                </c:pt>
                <c:pt idx="120">
                  <c:v>1.3653754020167043E-6</c:v>
                </c:pt>
                <c:pt idx="121">
                  <c:v>1.26872607385016E-6</c:v>
                </c:pt>
                <c:pt idx="122">
                  <c:v>1.177181987713117E-6</c:v>
                </c:pt>
                <c:pt idx="123">
                  <c:v>1.0904990018502157E-6</c:v>
                </c:pt>
                <c:pt idx="124">
                  <c:v>1.0084856099668169E-6</c:v>
                </c:pt>
                <c:pt idx="125">
                  <c:v>9.3098797876391718E-7</c:v>
                </c:pt>
                <c:pt idx="126">
                  <c:v>8.5787761304746664E-7</c:v>
                </c:pt>
                <c:pt idx="127">
                  <c:v>7.8904139785421093E-7</c:v>
                </c:pt>
                <c:pt idx="128">
                  <c:v>7.2437375889465917E-7</c:v>
                </c:pt>
                <c:pt idx="129">
                  <c:v>6.6377068324581749E-7</c:v>
                </c:pt>
                <c:pt idx="130">
                  <c:v>6.0712534961203808E-7</c:v>
                </c:pt>
                <c:pt idx="131">
                  <c:v>5.5432512983822849E-7</c:v>
                </c:pt>
                <c:pt idx="132">
                  <c:v>5.0524973919539796E-7</c:v>
                </c:pt>
                <c:pt idx="133">
                  <c:v>4.5977033101402478E-7</c:v>
                </c:pt>
                <c:pt idx="134">
                  <c:v>4.1774935050959775E-7</c:v>
                </c:pt>
                <c:pt idx="135">
                  <c:v>3.7904098233936952E-7</c:v>
                </c:pt>
                <c:pt idx="136">
                  <c:v>3.4349204595159077E-7</c:v>
                </c:pt>
                <c:pt idx="137">
                  <c:v>3.1094321169865337E-7</c:v>
                </c:pt>
                <c:pt idx="138">
                  <c:v>2.81230428673149E-7</c:v>
                </c:pt>
                <c:pt idx="139">
                  <c:v>2.5418647208241645E-7</c:v>
                </c:pt>
                <c:pt idx="140">
                  <c:v>2.2964253357293085E-7</c:v>
                </c:pt>
                <c:pt idx="141">
                  <c:v>2.0742979218031726E-7</c:v>
                </c:pt>
                <c:pt idx="142">
                  <c:v>1.8738091648678485E-7</c:v>
                </c:pt>
                <c:pt idx="143">
                  <c:v>1.6933146011981622E-7</c:v>
                </c:pt>
                <c:pt idx="144">
                  <c:v>1.5312112295103774E-7</c:v>
                </c:pt>
                <c:pt idx="145">
                  <c:v>1.3859485929555978E-7</c:v>
                </c:pt>
                <c:pt idx="146">
                  <c:v>1.2560382212472741E-7</c:v>
                </c:pt>
                <c:pt idx="147">
                  <c:v>1.1400613885306743E-7</c:v>
                </c:pt>
                <c:pt idx="148">
                  <c:v>1.036675197140031E-7</c:v>
                </c:pt>
                <c:pt idx="149">
                  <c:v>9.4461704174903013E-8</c:v>
                </c:pt>
                <c:pt idx="150">
                  <c:v>8.6270754340877716E-8</c:v>
                </c:pt>
                <c:pt idx="151">
                  <c:v>7.8985206942471956E-8</c:v>
                </c:pt>
                <c:pt idx="152">
                  <c:v>7.2504097381410843E-8</c:v>
                </c:pt>
                <c:pt idx="153">
                  <c:v>6.6734870508423639E-8</c:v>
                </c:pt>
                <c:pt idx="154">
                  <c:v>6.1593193415409865E-8</c:v>
                </c:pt>
                <c:pt idx="155">
                  <c:v>5.7002685626924157E-8</c:v>
                </c:pt>
                <c:pt idx="156">
                  <c:v>5.289458175635054E-8</c:v>
                </c:pt>
                <c:pt idx="157">
                  <c:v>4.92073410290516E-8</c:v>
                </c:pt>
                <c:pt idx="158">
                  <c:v>4.5886217141150184E-8</c:v>
                </c:pt>
                <c:pt idx="159">
                  <c:v>4.288280078381331E-8</c:v>
                </c:pt>
                <c:pt idx="160">
                  <c:v>4.015454587505888E-8</c:v>
                </c:pt>
                <c:pt idx="161">
                  <c:v>3.7664289148863263E-8</c:v>
                </c:pt>
                <c:pt idx="162">
                  <c:v>3.5379774246649599E-8</c:v>
                </c:pt>
                <c:pt idx="163">
                  <c:v>3.327319015622461E-8</c:v>
                </c:pt>
                <c:pt idx="164">
                  <c:v>3.1320708456562074E-8</c:v>
                </c:pt>
                <c:pt idx="165">
                  <c:v>2.9502050342612742E-8</c:v>
                </c:pt>
                <c:pt idx="166">
                  <c:v>2.7800083134535991E-8</c:v>
                </c:pt>
                <c:pt idx="167">
                  <c:v>2.620043615046371E-8</c:v>
                </c:pt>
                <c:pt idx="168">
                  <c:v>2.4691144819584218E-8</c:v>
                </c:pt>
                <c:pt idx="169">
                  <c:v>2.3262323698893165E-8</c:v>
                </c:pt>
                <c:pt idx="170">
                  <c:v>2.190586848720757E-8</c:v>
                </c:pt>
                <c:pt idx="171">
                  <c:v>2.0615186635692754E-8</c:v>
                </c:pt>
                <c:pt idx="172">
                  <c:v>1.9384955742029595E-8</c:v>
                </c:pt>
                <c:pt idx="173">
                  <c:v>1.8210908585526788E-8</c:v>
                </c:pt>
                <c:pt idx="174">
                  <c:v>1.7089643408731753E-8</c:v>
                </c:pt>
                <c:pt idx="175">
                  <c:v>1.6018457870572276E-8</c:v>
                </c:pt>
                <c:pt idx="176">
                  <c:v>1.4995204978514396E-8</c:v>
                </c:pt>
                <c:pt idx="177">
                  <c:v>1.4018169243810218E-8</c:v>
                </c:pt>
                <c:pt idx="178">
                  <c:v>1.3085961285799439E-8</c:v>
                </c:pt>
                <c:pt idx="179">
                  <c:v>1.2197429129985355E-8</c:v>
                </c:pt>
                <c:pt idx="180">
                  <c:v>1.1351584492453442E-8</c:v>
                </c:pt>
                <c:pt idx="181">
                  <c:v>1.0547542413172081E-8</c:v>
                </c:pt>
                <c:pt idx="182">
                  <c:v>9.7844726867267822E-9</c:v>
                </c:pt>
                <c:pt idx="183">
                  <c:v>9.061561635906464E-9</c:v>
                </c:pt>
                <c:pt idx="184">
                  <c:v>8.3779828769668896E-9</c:v>
                </c:pt>
                <c:pt idx="185">
                  <c:v>7.7328758318372229E-9</c:v>
                </c:pt>
                <c:pt idx="186">
                  <c:v>7.1253308492414155E-9</c:v>
                </c:pt>
                <c:pt idx="187">
                  <c:v>6.5543799015515946E-9</c:v>
                </c:pt>
                <c:pt idx="188">
                  <c:v>6.0189919256068068E-9</c:v>
                </c:pt>
                <c:pt idx="189">
                  <c:v>5.5180719726111631E-9</c:v>
                </c:pt>
                <c:pt idx="190">
                  <c:v>5.0504634238419221E-9</c:v>
                </c:pt>
                <c:pt idx="191">
                  <c:v>4.6149526148223653E-9</c:v>
                </c:pt>
                <c:pt idx="192">
                  <c:v>4.2102752906467406E-9</c:v>
                </c:pt>
                <c:pt idx="193">
                  <c:v>3.8351243892583269E-9</c:v>
                </c:pt>
                <c:pt idx="194">
                  <c:v>3.4881587177691321E-9</c:v>
                </c:pt>
                <c:pt idx="195">
                  <c:v>3.1680121495463931E-9</c:v>
                </c:pt>
                <c:pt idx="196">
                  <c:v>2.8733030270017718E-9</c:v>
                </c:pt>
                <c:pt idx="197">
                  <c:v>2.6026435070559998E-9</c:v>
                </c:pt>
                <c:pt idx="198">
                  <c:v>2.3546486333780731E-9</c:v>
                </c:pt>
                <c:pt idx="199">
                  <c:v>2.1279449619762889E-9</c:v>
                </c:pt>
                <c:pt idx="200">
                  <c:v>1.921178604804785E-9</c:v>
                </c:pt>
                <c:pt idx="201">
                  <c:v>1.7330225899901851E-9</c:v>
                </c:pt>
                <c:pt idx="202">
                  <c:v>1.5621834673144196E-9</c:v>
                </c:pt>
                <c:pt idx="203">
                  <c:v>1.4074071139388047E-9</c:v>
                </c:pt>
                <c:pt idx="204">
                  <c:v>1.2674837182400282E-9</c:v>
                </c:pt>
                <c:pt idx="205">
                  <c:v>1.1412519392651215E-9</c:v>
                </c:pt>
                <c:pt idx="206">
                  <c:v>1.0276022559105733E-9</c:v>
                </c:pt>
                <c:pt idx="207">
                  <c:v>9.2547953370053016E-10</c:v>
                </c:pt>
                <c:pt idx="208">
                  <c:v>8.338848481903529E-10</c:v>
                </c:pt>
                <c:pt idx="209">
                  <c:v>7.5187661276542029E-10</c:v>
                </c:pt>
                <c:pt idx="210">
                  <c:v>6.7857106515294658E-10</c:v>
                </c:pt>
                <c:pt idx="211">
                  <c:v>6.1314217152855281E-10</c:v>
                </c:pt>
                <c:pt idx="212">
                  <c:v>5.5482100989113931E-10</c:v>
                </c:pt>
                <c:pt idx="213">
                  <c:v>5.0289469560850429E-10</c:v>
                </c:pt>
                <c:pt idx="214">
                  <c:v>4.5670491190786984E-10</c:v>
                </c:pt>
                <c:pt idx="215">
                  <c:v>4.1564610679986666E-10</c:v>
                </c:pt>
                <c:pt idx="216">
                  <c:v>3.7916341567390717E-10</c:v>
                </c:pt>
                <c:pt idx="217">
                  <c:v>3.4675036576994048E-10</c:v>
                </c:pt>
                <c:pt idx="218">
                  <c:v>3.1794641508781688E-10</c:v>
                </c:pt>
                <c:pt idx="219">
                  <c:v>2.9233437419950047E-10</c:v>
                </c:pt>
                <c:pt idx="220">
                  <c:v>2.6953775502564969E-10</c:v>
                </c:pt>
                <c:pt idx="221">
                  <c:v>2.4921808605608723E-10</c:v>
                </c:pt>
                <c:pt idx="222">
                  <c:v>2.3107222884689644E-10</c:v>
                </c:pt>
                <c:pt idx="223">
                  <c:v>2.1482972601254792E-10</c:v>
                </c:pt>
                <c:pt idx="224">
                  <c:v>2.0025020643014339E-10</c:v>
                </c:pt>
                <c:pt idx="225">
                  <c:v>1.8712086904825242E-10</c:v>
                </c:pt>
                <c:pt idx="226">
                  <c:v>1.7525406259152246E-10</c:v>
                </c:pt>
                <c:pt idx="227">
                  <c:v>1.6448497460326414E-10</c:v>
                </c:pt>
                <c:pt idx="228">
                  <c:v>1.5466943968201128E-10</c:v>
                </c:pt>
                <c:pt idx="229">
                  <c:v>1.4568188838275913E-10</c:v>
                </c:pt>
                <c:pt idx="230">
                  <c:v>1.3741342794775182E-10</c:v>
                </c:pt>
                <c:pt idx="231">
                  <c:v>1.2977001422945342E-10</c:v>
                </c:pt>
                <c:pt idx="232">
                  <c:v>1.2267079404178206E-10</c:v>
                </c:pt>
                <c:pt idx="233">
                  <c:v>1.1604658910066716E-10</c:v>
                </c:pt>
                <c:pt idx="234">
                  <c:v>1.0983849159347051E-10</c:v>
                </c:pt>
                <c:pt idx="235">
                  <c:v>1.0399658507070401E-10</c:v>
                </c:pt>
                <c:pt idx="236">
                  <c:v>9.8478784864016026E-11</c:v>
                </c:pt>
                <c:pt idx="237">
                  <c:v>9.3249791712562076E-11</c:v>
                </c:pt>
                <c:pt idx="238">
                  <c:v>8.8280151906424587E-11</c:v>
                </c:pt>
                <c:pt idx="239">
                  <c:v>8.3545417024019227E-11</c:v>
                </c:pt>
                <c:pt idx="240">
                  <c:v>7.9025396238006399E-11</c:v>
                </c:pt>
                <c:pt idx="241">
                  <c:v>7.4703494175568463E-11</c:v>
                </c:pt>
                <c:pt idx="242">
                  <c:v>7.056612742710843E-11</c:v>
                </c:pt>
                <c:pt idx="243">
                  <c:v>6.6602212985449259E-11</c:v>
                </c:pt>
                <c:pt idx="244">
                  <c:v>6.2802722149106724E-11</c:v>
                </c:pt>
                <c:pt idx="245">
                  <c:v>5.9160293723019768E-11</c:v>
                </c:pt>
                <c:pt idx="246">
                  <c:v>5.5668900684605744E-11</c:v>
                </c:pt>
                <c:pt idx="247">
                  <c:v>5.2323564840169813E-11</c:v>
                </c:pt>
                <c:pt idx="248">
                  <c:v>4.9120114366261347E-11</c:v>
                </c:pt>
                <c:pt idx="249">
                  <c:v>4.6054979503914277E-11</c:v>
                </c:pt>
                <c:pt idx="250">
                  <c:v>4.3125022043803181E-11</c:v>
                </c:pt>
                <c:pt idx="251">
                  <c:v>4.0327394601610734E-11</c:v>
                </c:pt>
                <c:pt idx="252">
                  <c:v>3.7659426031068135E-11</c:v>
                </c:pt>
                <c:pt idx="253">
                  <c:v>3.5118529654076585E-11</c:v>
                </c:pt>
                <c:pt idx="254">
                  <c:v>3.2702131300921899E-11</c:v>
                </c:pt>
                <c:pt idx="255">
                  <c:v>3.0407614447563494E-11</c:v>
                </c:pt>
                <c:pt idx="256">
                  <c:v>2.8232280010710542E-11</c:v>
                </c:pt>
                <c:pt idx="257">
                  <c:v>2.6173318614842358E-11</c:v>
                </c:pt>
                <c:pt idx="258">
                  <c:v>2.4227793378860956E-11</c:v>
                </c:pt>
                <c:pt idx="259">
                  <c:v>2.239263148438094E-11</c:v>
                </c:pt>
                <c:pt idx="260">
                  <c:v>2.0664622983684085E-11</c:v>
                </c:pt>
                <c:pt idx="261">
                  <c:v>1.9040425484164467E-11</c:v>
                </c:pt>
                <c:pt idx="262">
                  <c:v>1.7516573508812053E-11</c:v>
                </c:pt>
                <c:pt idx="263">
                  <c:v>1.6089491480108949E-11</c:v>
                </c:pt>
                <c:pt idx="264">
                  <c:v>1.475550940880826E-11</c:v>
                </c:pt>
                <c:pt idx="265">
                  <c:v>1.3510880490558455E-11</c:v>
                </c:pt>
                <c:pt idx="266">
                  <c:v>1.2351799923285889E-11</c:v>
                </c:pt>
                <c:pt idx="267">
                  <c:v>1.1274424357645892E-11</c:v>
                </c:pt>
                <c:pt idx="268">
                  <c:v>1.027489148259885E-11</c:v>
                </c:pt>
                <c:pt idx="269">
                  <c:v>9.3493393290835801E-12</c:v>
                </c:pt>
                <c:pt idx="270">
                  <c:v>8.4939249475819138E-12</c:v>
                </c:pt>
                <c:pt idx="271">
                  <c:v>7.7048421807536819E-12</c:v>
                </c:pt>
                <c:pt idx="272">
                  <c:v>6.9783383108581908E-12</c:v>
                </c:pt>
                <c:pt idx="273">
                  <c:v>6.3107294138897145E-12</c:v>
                </c:pt>
                <c:pt idx="274">
                  <c:v>5.6984142987105525E-12</c:v>
                </c:pt>
                <c:pt idx="275">
                  <c:v>5.1378869503877259E-12</c:v>
                </c:pt>
                <c:pt idx="276">
                  <c:v>4.6257474328135395E-12</c:v>
                </c:pt>
                <c:pt idx="277">
                  <c:v>4.1587112368697438E-12</c:v>
                </c:pt>
                <c:pt idx="278">
                  <c:v>3.7336170872100594E-12</c:v>
                </c:pt>
                <c:pt idx="279">
                  <c:v>3.347433243496928E-12</c:v>
                </c:pt>
                <c:pt idx="280">
                  <c:v>2.9972623509341929E-12</c:v>
                </c:pt>
                <c:pt idx="281">
                  <c:v>2.6803449104737115E-12</c:v>
                </c:pt>
                <c:pt idx="282">
                  <c:v>2.3940614514207744E-12</c:v>
                </c:pt>
                <c:pt idx="283">
                  <c:v>2.1359334985928561E-12</c:v>
                </c:pt>
                <c:pt idx="284">
                  <c:v>1.9036234329665622E-12</c:v>
                </c:pt>
                <c:pt idx="285">
                  <c:v>1.6949333491406517E-12</c:v>
                </c:pt>
                <c:pt idx="286">
                  <c:v>1.507803015205459E-12</c:v>
                </c:pt>
                <c:pt idx="287">
                  <c:v>1.3403070409909103E-12</c:v>
                </c:pt>
                <c:pt idx="288">
                  <c:v>1.1906513594095157E-12</c:v>
                </c:pt>
                <c:pt idx="289">
                  <c:v>1.0571691229507424E-12</c:v>
                </c:pt>
                <c:pt idx="290">
                  <c:v>9.3831611354305311E-13</c:v>
                </c:pt>
                <c:pt idx="291">
                  <c:v>8.326657591913347E-13</c:v>
                </c:pt>
                <c:pt idx="292">
                  <c:v>7.3890384522023852E-13</c:v>
                </c:pt>
                <c:pt idx="293">
                  <c:v>6.5582300179313596E-13</c:v>
                </c:pt>
                <c:pt idx="294">
                  <c:v>5.823170428030035E-13</c:v>
                </c:pt>
                <c:pt idx="295">
                  <c:v>5.1737522440035457E-13</c:v>
                </c:pt>
                <c:pt idx="296">
                  <c:v>4.6007648447384908E-13</c:v>
                </c:pt>
                <c:pt idx="297">
                  <c:v>4.0958371745420722E-13</c:v>
                </c:pt>
                <c:pt idx="298">
                  <c:v>3.6513813197861524E-13</c:v>
                </c:pt>
                <c:pt idx="299">
                  <c:v>3.2605373232199017E-13</c:v>
                </c:pt>
                <c:pt idx="300">
                  <c:v>2.9171195814901821E-13</c:v>
                </c:pt>
                <c:pt idx="301">
                  <c:v>2.6155651112795198E-13</c:v>
                </c:pt>
                <c:pt idx="302">
                  <c:v>2.3508839132109343E-13</c:v>
                </c:pt>
                <c:pt idx="303">
                  <c:v>2.1186116106219178E-13</c:v>
                </c:pt>
                <c:pt idx="304">
                  <c:v>1.9147644927042044E-13</c:v>
                </c:pt>
                <c:pt idx="305">
                  <c:v>1.7357970484636438E-13</c:v>
                </c:pt>
                <c:pt idx="306">
                  <c:v>1.5785620395020616E-13</c:v>
                </c:pt>
                <c:pt idx="307">
                  <c:v>1.4402731257055979E-13</c:v>
                </c:pt>
                <c:pt idx="308">
                  <c:v>1.3184700284136581E-13</c:v>
                </c:pt>
                <c:pt idx="309">
                  <c:v>1.2109861903515955E-13</c:v>
                </c:pt>
                <c:pt idx="310">
                  <c:v>1.1159188702981915E-13</c:v>
                </c:pt>
                <c:pt idx="311">
                  <c:v>1.0316015928421943E-13</c:v>
                </c:pt>
                <c:pt idx="312">
                  <c:v>9.565788593387313E-14</c:v>
                </c:pt>
                <c:pt idx="313">
                  <c:v>8.8958301494958611E-14</c:v>
                </c:pt>
                <c:pt idx="314">
                  <c:v>8.2951319736803708E-14</c:v>
                </c:pt>
                <c:pt idx="315">
                  <c:v>7.7541622435711545E-14</c:v>
                </c:pt>
                <c:pt idx="316">
                  <c:v>7.264692784590782E-14</c:v>
                </c:pt>
                <c:pt idx="317">
                  <c:v>6.8196407159362095E-14</c:v>
                </c:pt>
                <c:pt idx="318">
                  <c:v>6.4129293243094577E-14</c:v>
                </c:pt>
                <c:pt idx="319">
                  <c:v>6.039361728274896E-14</c:v>
                </c:pt>
                <c:pt idx="320">
                  <c:v>5.6945079655556358E-14</c:v>
                </c:pt>
                <c:pt idx="321">
                  <c:v>5.3746043740820378E-14</c:v>
                </c:pt>
                <c:pt idx="322">
                  <c:v>5.0764641930306342E-14</c:v>
                </c:pt>
                <c:pt idx="323">
                  <c:v>4.7973983684911283E-14</c:v>
                </c:pt>
                <c:pt idx="324">
                  <c:v>4.5351456088889762E-14</c:v>
                </c:pt>
                <c:pt idx="325">
                  <c:v>4.287810796953191E-14</c:v>
                </c:pt>
                <c:pt idx="326">
                  <c:v>4.0538109269697839E-14</c:v>
                </c:pt>
                <c:pt idx="327">
                  <c:v>3.8318277974944404E-14</c:v>
                </c:pt>
                <c:pt idx="328">
                  <c:v>3.6207667499074538E-14</c:v>
                </c:pt>
                <c:pt idx="329">
                  <c:v>3.4197208015845723E-14</c:v>
                </c:pt>
                <c:pt idx="330">
                  <c:v>3.2279395785474437E-14</c:v>
                </c:pt>
                <c:pt idx="331">
                  <c:v>3.0448025058734129E-14</c:v>
                </c:pt>
                <c:pt idx="332">
                  <c:v>2.8697957646151243E-14</c:v>
                </c:pt>
                <c:pt idx="333">
                  <c:v>2.7024925713255786E-14</c:v>
                </c:pt>
                <c:pt idx="334">
                  <c:v>2.5425363804046204E-14</c:v>
                </c:pt>
                <c:pt idx="335">
                  <c:v>2.3896266503483188E-14</c:v>
                </c:pt>
                <c:pt idx="336">
                  <c:v>2.2435068526215755E-14</c:v>
                </c:pt>
                <c:pt idx="337">
                  <c:v>2.1039544363622564E-14</c:v>
                </c:pt>
                <c:pt idx="338">
                  <c:v>1.970772493575741E-14</c:v>
                </c:pt>
                <c:pt idx="339">
                  <c:v>1.8437828980340502E-14</c:v>
                </c:pt>
                <c:pt idx="340">
                  <c:v>1.7228207169165431E-14</c:v>
                </c:pt>
                <c:pt idx="341">
                  <c:v>1.6077297174960286E-14</c:v>
                </c:pt>
                <c:pt idx="342">
                  <c:v>1.4983588120692412E-14</c:v>
                </c:pt>
                <c:pt idx="343">
                  <c:v>1.3945593030407576E-14</c:v>
                </c:pt>
                <c:pt idx="344">
                  <c:v>1.2961828067800346E-14</c:v>
                </c:pt>
                <c:pt idx="345">
                  <c:v>1.2030797497626767E-14</c:v>
                </c:pt>
                <c:pt idx="346">
                  <c:v>1.1150983437526246E-14</c:v>
                </c:pt>
                <c:pt idx="347">
                  <c:v>1.0320839585454005E-14</c:v>
                </c:pt>
                <c:pt idx="348">
                  <c:v>9.5387882122717301E-15</c:v>
                </c:pt>
                <c:pt idx="349">
                  <c:v>8.8032198015204713E-15</c:v>
                </c:pt>
                <c:pt idx="350">
                  <c:v>8.1124948003060829E-15</c:v>
                </c:pt>
                <c:pt idx="351">
                  <c:v>7.4649470177455094E-15</c:v>
                </c:pt>
                <c:pt idx="352">
                  <c:v>6.8588882716163681E-15</c:v>
                </c:pt>
                <c:pt idx="353">
                  <c:v>6.2926139406759903E-15</c:v>
                </c:pt>
                <c:pt idx="354">
                  <c:v>5.7644091304163792E-15</c:v>
                </c:pt>
                <c:pt idx="355">
                  <c:v>5.2725552045470021E-15</c:v>
                </c:pt>
                <c:pt idx="356">
                  <c:v>4.8153364739062441E-15</c:v>
                </c:pt>
                <c:pt idx="357">
                  <c:v>4.391046869370788E-15</c:v>
                </c:pt>
                <c:pt idx="358">
                  <c:v>3.9979964561623232E-15</c:v>
                </c:pt>
                <c:pt idx="359">
                  <c:v>3.6345176741806466E-15</c:v>
                </c:pt>
                <c:pt idx="360">
                  <c:v>3.2989712130009754E-15</c:v>
                </c:pt>
                <c:pt idx="361">
                  <c:v>2.989751451292339E-15</c:v>
                </c:pt>
                <c:pt idx="362">
                  <c:v>2.7052914089311384E-15</c:v>
                </c:pt>
                <c:pt idx="363">
                  <c:v>2.4440671762512616E-15</c:v>
                </c:pt>
                <c:pt idx="364">
                  <c:v>2.2046017989117266E-15</c:v>
                </c:pt>
                <c:pt idx="365">
                  <c:v>1.9854686089705457E-15</c:v>
                </c:pt>
                <c:pt idx="366">
                  <c:v>1.7852940031051529E-15</c:v>
                </c:pt>
                <c:pt idx="367">
                  <c:v>1.6027596776733065E-15</c:v>
                </c:pt>
                <c:pt idx="368">
                  <c:v>1.4366043376083728E-15</c:v>
                </c:pt>
                <c:pt idx="369">
                  <c:v>1.2856249021213721E-15</c:v>
                </c:pt>
                <c:pt idx="370">
                  <c:v>1.1486772349628167E-15</c:v>
                </c:pt>
                <c:pt idx="371">
                  <c:v>1.0246764306950026E-15</c:v>
                </c:pt>
                <c:pt idx="372">
                  <c:v>9.1259669114860937E-16</c:v>
                </c:pt>
                <c:pt idx="373">
                  <c:v>8.1147082808920741E-16</c:v>
                </c:pt>
                <c:pt idx="374">
                  <c:v>7.2038942919639446E-16</c:v>
                </c:pt>
                <c:pt idx="375">
                  <c:v>6.3849972485396752E-16</c:v>
                </c:pt>
                <c:pt idx="376">
                  <c:v>5.6500419305108762E-16</c:v>
                </c:pt>
                <c:pt idx="377">
                  <c:v>4.9915893898525992E-16</c:v>
                </c:pt>
                <c:pt idx="378">
                  <c:v>4.4027188481649972E-16</c:v>
                </c:pt>
                <c:pt idx="379">
                  <c:v>3.8770080352188847E-16</c:v>
                </c:pt>
                <c:pt idx="380">
                  <c:v>3.4085122900974382E-16</c:v>
                </c:pt>
                <c:pt idx="381">
                  <c:v>2.9917427263632252E-16</c:v>
                </c:pt>
                <c:pt idx="382">
                  <c:v>2.6216437408406914E-16</c:v>
                </c:pt>
                <c:pt idx="383">
                  <c:v>2.2935701226210533E-16</c:v>
                </c:pt>
                <c:pt idx="384">
                  <c:v>2.0032639952498149E-16</c:v>
                </c:pt>
                <c:pt idx="385">
                  <c:v>1.7468318011747692E-16</c:v>
                </c:pt>
                <c:pt idx="386">
                  <c:v>1.5207215137894866E-16</c:v>
                </c:pt>
                <c:pt idx="387">
                  <c:v>1.3217002391293341E-16</c:v>
                </c:pt>
                <c:pt idx="388">
                  <c:v>1.1468323467391338E-16</c:v>
                </c:pt>
                <c:pt idx="389">
                  <c:v>9.9345824766229146E-17</c:v>
                </c:pt>
                <c:pt idx="390">
                  <c:v>8.5917391708487524E-17</c:v>
                </c:pt>
                <c:pt idx="391">
                  <c:v>7.4181124004640688E-17</c:v>
                </c:pt>
                <c:pt idx="392">
                  <c:v>6.3941924090646183E-17</c:v>
                </c:pt>
                <c:pt idx="393">
                  <c:v>5.5024624100077609E-17</c:v>
                </c:pt>
                <c:pt idx="394">
                  <c:v>4.7272297416966943E-17</c:v>
                </c:pt>
                <c:pt idx="395">
                  <c:v>4.0544667660439609E-17</c:v>
                </c:pt>
                <c:pt idx="396">
                  <c:v>3.47166155717856E-17</c:v>
                </c:pt>
                <c:pt idx="397">
                  <c:v>2.9676783246905094E-17</c:v>
                </c:pt>
                <c:pt idx="398">
                  <c:v>2.5326274270177586E-17</c:v>
                </c:pt>
                <c:pt idx="399">
                  <c:v>2.1577447552952194E-17</c:v>
                </c:pt>
                <c:pt idx="400">
                  <c:v>1.8352802053143158E-17</c:v>
                </c:pt>
                <c:pt idx="401">
                  <c:v>1.5583949043105521E-17</c:v>
                </c:pt>
                <c:pt idx="402">
                  <c:v>1.3210668191766879E-17</c:v>
                </c:pt>
                <c:pt idx="403">
                  <c:v>1.1180043424281194E-17</c:v>
                </c:pt>
                <c:pt idx="404">
                  <c:v>9.4456743084845309E-18</c:v>
                </c:pt>
                <c:pt idx="405">
                  <c:v>7.9669585824818559E-18</c:v>
                </c:pt>
                <c:pt idx="406">
                  <c:v>6.7084413722772159E-18</c:v>
                </c:pt>
                <c:pt idx="407">
                  <c:v>5.6392266433202756E-18</c:v>
                </c:pt>
                <c:pt idx="408">
                  <c:v>4.7324464764596233E-18</c:v>
                </c:pt>
                <c:pt idx="409">
                  <c:v>3.9647838488556542E-18</c:v>
                </c:pt>
                <c:pt idx="410">
                  <c:v>3.3160447262866413E-18</c:v>
                </c:pt>
                <c:pt idx="411">
                  <c:v>2.7687754279595214E-18</c:v>
                </c:pt>
                <c:pt idx="412">
                  <c:v>2.307921402031065E-18</c:v>
                </c:pt>
                <c:pt idx="413">
                  <c:v>1.9205237438196606E-18</c:v>
                </c:pt>
                <c:pt idx="414">
                  <c:v>1.5954499940422883E-18</c:v>
                </c:pt>
                <c:pt idx="415">
                  <c:v>1.3231559668711942E-18</c:v>
                </c:pt>
                <c:pt idx="416">
                  <c:v>1.0954755732926387E-18</c:v>
                </c:pt>
                <c:pt idx="417">
                  <c:v>9.0543582085582113E-19</c:v>
                </c:pt>
                <c:pt idx="418">
                  <c:v>7.4709438364351707E-19</c:v>
                </c:pt>
                <c:pt idx="419">
                  <c:v>6.1539734388862903E-19</c:v>
                </c:pt>
                <c:pt idx="420">
                  <c:v>5.0605490725984977E-19</c:v>
                </c:pt>
                <c:pt idx="421">
                  <c:v>4.154330860086033E-19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C7-4CFB-9808-8F454F30927F}"/>
            </c:ext>
          </c:extLst>
        </c:ser>
        <c:ser>
          <c:idx val="1"/>
          <c:order val="2"/>
          <c:spPr>
            <a:ln w="158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'Credit Portfolio'!$AD$5:$AD$6</c:f>
              <c:numCache>
                <c:formatCode>0.00</c:formatCode>
                <c:ptCount val="2"/>
                <c:pt idx="0" formatCode="0.000%">
                  <c:v>0</c:v>
                </c:pt>
                <c:pt idx="1">
                  <c:v>13717.500000000007</c:v>
                </c:pt>
              </c:numCache>
            </c:numRef>
          </c:xVal>
          <c:yVal>
            <c:numRef>
              <c:f>'Credit Portfolio'!$AC$5:$AC$6</c:f>
              <c:numCache>
                <c:formatCode>0.000%</c:formatCode>
                <c:ptCount val="2"/>
                <c:pt idx="0">
                  <c:v>1.0000000000000009E-3</c:v>
                </c:pt>
                <c:pt idx="1">
                  <c:v>1.0000000000000009E-3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58-4F40-A68B-19D31A2129DE}"/>
            </c:ext>
          </c:extLst>
        </c:ser>
        <c:ser>
          <c:idx val="3"/>
          <c:order val="3"/>
          <c:spPr>
            <a:ln w="158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'Credit Portfolio'!$AF$5:$AF$6</c:f>
              <c:numCache>
                <c:formatCode>0.00</c:formatCode>
                <c:ptCount val="2"/>
                <c:pt idx="0">
                  <c:v>13717.500000000007</c:v>
                </c:pt>
                <c:pt idx="1">
                  <c:v>13717.500000000007</c:v>
                </c:pt>
              </c:numCache>
            </c:numRef>
          </c:xVal>
          <c:yVal>
            <c:numRef>
              <c:f>'Credit Portfolio'!$AE$5:$AE$6</c:f>
              <c:numCache>
                <c:formatCode>0.000%</c:formatCode>
                <c:ptCount val="2"/>
                <c:pt idx="0">
                  <c:v>1.0000000000000009E-3</c:v>
                </c:pt>
                <c:pt idx="1">
                  <c:v>1.0000000000000001E-9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58-4F40-A68B-19D31A212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78072"/>
        <c:axId val="767265800"/>
      </c:scatterChart>
      <c:valAx>
        <c:axId val="709078072"/>
        <c:scaling>
          <c:orientation val="minMax"/>
          <c:max val="3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265800"/>
        <c:crossesAt val="1.0000000000000006E-10"/>
        <c:crossBetween val="midCat"/>
      </c:valAx>
      <c:valAx>
        <c:axId val="767265800"/>
        <c:scaling>
          <c:logBase val="10"/>
          <c:orientation val="minMax"/>
          <c:min val="1.0000000000000004E-6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78072"/>
        <c:crosses val="autoZero"/>
        <c:crossBetween val="midCat"/>
      </c:valAx>
      <c:spPr>
        <a:noFill/>
        <a:ln w="6350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'Credit Portfolio'!$Y$4</c:f>
              <c:strCache>
                <c:ptCount val="1"/>
                <c:pt idx="0">
                  <c:v>Monte Carlo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Portfolio'!$X$5:$X$426</c:f>
              <c:numCache>
                <c:formatCode>General</c:formatCode>
                <c:ptCount val="422"/>
                <c:pt idx="0">
                  <c:v>0</c:v>
                </c:pt>
                <c:pt idx="1">
                  <c:v>147.5</c:v>
                </c:pt>
                <c:pt idx="2">
                  <c:v>442.5</c:v>
                </c:pt>
                <c:pt idx="3">
                  <c:v>737.5</c:v>
                </c:pt>
                <c:pt idx="4">
                  <c:v>1032.5</c:v>
                </c:pt>
                <c:pt idx="5">
                  <c:v>1327.5000000000002</c:v>
                </c:pt>
                <c:pt idx="6">
                  <c:v>1622.5000000000002</c:v>
                </c:pt>
                <c:pt idx="7">
                  <c:v>1917.5000000000002</c:v>
                </c:pt>
                <c:pt idx="8">
                  <c:v>2212.5</c:v>
                </c:pt>
                <c:pt idx="9">
                  <c:v>2507.5</c:v>
                </c:pt>
                <c:pt idx="10">
                  <c:v>2802.5000000000005</c:v>
                </c:pt>
                <c:pt idx="11">
                  <c:v>3097.5000000000009</c:v>
                </c:pt>
                <c:pt idx="12">
                  <c:v>3392.5000000000009</c:v>
                </c:pt>
                <c:pt idx="13">
                  <c:v>3687.5000000000014</c:v>
                </c:pt>
                <c:pt idx="14">
                  <c:v>3982.5000000000014</c:v>
                </c:pt>
                <c:pt idx="15">
                  <c:v>4277.5000000000018</c:v>
                </c:pt>
                <c:pt idx="16">
                  <c:v>4572.5000000000018</c:v>
                </c:pt>
                <c:pt idx="17">
                  <c:v>4867.5000000000027</c:v>
                </c:pt>
                <c:pt idx="18">
                  <c:v>5162.5000000000027</c:v>
                </c:pt>
                <c:pt idx="19">
                  <c:v>5457.5000000000027</c:v>
                </c:pt>
                <c:pt idx="20">
                  <c:v>5752.5000000000027</c:v>
                </c:pt>
                <c:pt idx="21">
                  <c:v>6047.5000000000036</c:v>
                </c:pt>
                <c:pt idx="22">
                  <c:v>6342.5000000000036</c:v>
                </c:pt>
                <c:pt idx="23">
                  <c:v>6637.5000000000036</c:v>
                </c:pt>
                <c:pt idx="24">
                  <c:v>6932.5000000000045</c:v>
                </c:pt>
                <c:pt idx="25">
                  <c:v>7227.5000000000045</c:v>
                </c:pt>
                <c:pt idx="26">
                  <c:v>7522.5000000000045</c:v>
                </c:pt>
                <c:pt idx="27">
                  <c:v>7817.5000000000045</c:v>
                </c:pt>
                <c:pt idx="28">
                  <c:v>8112.5000000000055</c:v>
                </c:pt>
                <c:pt idx="29">
                  <c:v>8407.5000000000055</c:v>
                </c:pt>
                <c:pt idx="30">
                  <c:v>8702.5000000000055</c:v>
                </c:pt>
                <c:pt idx="31">
                  <c:v>8997.5000000000055</c:v>
                </c:pt>
                <c:pt idx="32">
                  <c:v>9292.5000000000055</c:v>
                </c:pt>
                <c:pt idx="33">
                  <c:v>9587.5000000000073</c:v>
                </c:pt>
                <c:pt idx="34">
                  <c:v>9882.5000000000073</c:v>
                </c:pt>
                <c:pt idx="35">
                  <c:v>10177.500000000007</c:v>
                </c:pt>
                <c:pt idx="36">
                  <c:v>10472.500000000007</c:v>
                </c:pt>
                <c:pt idx="37">
                  <c:v>10767.500000000007</c:v>
                </c:pt>
                <c:pt idx="38">
                  <c:v>11062.500000000007</c:v>
                </c:pt>
                <c:pt idx="39">
                  <c:v>11357.500000000007</c:v>
                </c:pt>
                <c:pt idx="40">
                  <c:v>11652.500000000009</c:v>
                </c:pt>
                <c:pt idx="41">
                  <c:v>11947.500000000009</c:v>
                </c:pt>
                <c:pt idx="42">
                  <c:v>12242.500000000009</c:v>
                </c:pt>
                <c:pt idx="43">
                  <c:v>12537.500000000009</c:v>
                </c:pt>
                <c:pt idx="44">
                  <c:v>12832.500000000009</c:v>
                </c:pt>
                <c:pt idx="45">
                  <c:v>13127.500000000009</c:v>
                </c:pt>
                <c:pt idx="46">
                  <c:v>13422.500000000009</c:v>
                </c:pt>
                <c:pt idx="47">
                  <c:v>13717.500000000011</c:v>
                </c:pt>
                <c:pt idx="48">
                  <c:v>14012.500000000011</c:v>
                </c:pt>
                <c:pt idx="49">
                  <c:v>14307.500000000011</c:v>
                </c:pt>
                <c:pt idx="50">
                  <c:v>14602.500000000011</c:v>
                </c:pt>
                <c:pt idx="51">
                  <c:v>14897.500000000011</c:v>
                </c:pt>
                <c:pt idx="52">
                  <c:v>15192.500000000011</c:v>
                </c:pt>
                <c:pt idx="53">
                  <c:v>15487.500000000011</c:v>
                </c:pt>
                <c:pt idx="54">
                  <c:v>15782.500000000013</c:v>
                </c:pt>
                <c:pt idx="55">
                  <c:v>16077.500000000013</c:v>
                </c:pt>
                <c:pt idx="56">
                  <c:v>16372.500000000013</c:v>
                </c:pt>
                <c:pt idx="57">
                  <c:v>16667.500000000015</c:v>
                </c:pt>
                <c:pt idx="58">
                  <c:v>16962.500000000015</c:v>
                </c:pt>
                <c:pt idx="59">
                  <c:v>17257.500000000015</c:v>
                </c:pt>
                <c:pt idx="60">
                  <c:v>17552.500000000015</c:v>
                </c:pt>
                <c:pt idx="61">
                  <c:v>17847.500000000015</c:v>
                </c:pt>
                <c:pt idx="62">
                  <c:v>18142.500000000015</c:v>
                </c:pt>
                <c:pt idx="63">
                  <c:v>18437.500000000011</c:v>
                </c:pt>
                <c:pt idx="64">
                  <c:v>18732.500000000011</c:v>
                </c:pt>
                <c:pt idx="65">
                  <c:v>19027.500000000015</c:v>
                </c:pt>
                <c:pt idx="66">
                  <c:v>19322.500000000015</c:v>
                </c:pt>
                <c:pt idx="67">
                  <c:v>19617.500000000015</c:v>
                </c:pt>
                <c:pt idx="68">
                  <c:v>19912.500000000015</c:v>
                </c:pt>
                <c:pt idx="69">
                  <c:v>20207.500000000015</c:v>
                </c:pt>
                <c:pt idx="70">
                  <c:v>20502.500000000015</c:v>
                </c:pt>
                <c:pt idx="71">
                  <c:v>20797.500000000015</c:v>
                </c:pt>
                <c:pt idx="72">
                  <c:v>21092.500000000015</c:v>
                </c:pt>
                <c:pt idx="73">
                  <c:v>21387.500000000015</c:v>
                </c:pt>
                <c:pt idx="74">
                  <c:v>21682.500000000015</c:v>
                </c:pt>
                <c:pt idx="75">
                  <c:v>21977.500000000015</c:v>
                </c:pt>
                <c:pt idx="76">
                  <c:v>22272.500000000015</c:v>
                </c:pt>
                <c:pt idx="77">
                  <c:v>22567.500000000015</c:v>
                </c:pt>
                <c:pt idx="78">
                  <c:v>22862.500000000015</c:v>
                </c:pt>
                <c:pt idx="79">
                  <c:v>23157.500000000018</c:v>
                </c:pt>
                <c:pt idx="80">
                  <c:v>23452.500000000018</c:v>
                </c:pt>
                <c:pt idx="81">
                  <c:v>23747.500000000018</c:v>
                </c:pt>
                <c:pt idx="82">
                  <c:v>24042.500000000018</c:v>
                </c:pt>
                <c:pt idx="83">
                  <c:v>24337.500000000018</c:v>
                </c:pt>
                <c:pt idx="84">
                  <c:v>24632.500000000018</c:v>
                </c:pt>
                <c:pt idx="85">
                  <c:v>24927.500000000018</c:v>
                </c:pt>
                <c:pt idx="86">
                  <c:v>25222.500000000018</c:v>
                </c:pt>
                <c:pt idx="87">
                  <c:v>25517.500000000018</c:v>
                </c:pt>
                <c:pt idx="88">
                  <c:v>25812.500000000018</c:v>
                </c:pt>
                <c:pt idx="89">
                  <c:v>26107.500000000018</c:v>
                </c:pt>
                <c:pt idx="90">
                  <c:v>26402.500000000018</c:v>
                </c:pt>
                <c:pt idx="91">
                  <c:v>26697.500000000018</c:v>
                </c:pt>
                <c:pt idx="92">
                  <c:v>26992.500000000018</c:v>
                </c:pt>
                <c:pt idx="93">
                  <c:v>27287.500000000022</c:v>
                </c:pt>
                <c:pt idx="94">
                  <c:v>27582.500000000022</c:v>
                </c:pt>
                <c:pt idx="95">
                  <c:v>27877.500000000022</c:v>
                </c:pt>
                <c:pt idx="96">
                  <c:v>28172.500000000022</c:v>
                </c:pt>
                <c:pt idx="97">
                  <c:v>28467.500000000022</c:v>
                </c:pt>
                <c:pt idx="98">
                  <c:v>28762.500000000022</c:v>
                </c:pt>
                <c:pt idx="99">
                  <c:v>29057.500000000022</c:v>
                </c:pt>
                <c:pt idx="100">
                  <c:v>29352.500000000022</c:v>
                </c:pt>
                <c:pt idx="101">
                  <c:v>29647.500000000022</c:v>
                </c:pt>
                <c:pt idx="102">
                  <c:v>29942.500000000022</c:v>
                </c:pt>
                <c:pt idx="103">
                  <c:v>30237.500000000022</c:v>
                </c:pt>
                <c:pt idx="104">
                  <c:v>30532.500000000022</c:v>
                </c:pt>
                <c:pt idx="105">
                  <c:v>30827.500000000022</c:v>
                </c:pt>
                <c:pt idx="106">
                  <c:v>31122.500000000022</c:v>
                </c:pt>
                <c:pt idx="107">
                  <c:v>31417.500000000025</c:v>
                </c:pt>
                <c:pt idx="108">
                  <c:v>31712.500000000025</c:v>
                </c:pt>
                <c:pt idx="109">
                  <c:v>32007.500000000025</c:v>
                </c:pt>
                <c:pt idx="110">
                  <c:v>32302.500000000025</c:v>
                </c:pt>
                <c:pt idx="111">
                  <c:v>32597.500000000025</c:v>
                </c:pt>
                <c:pt idx="112">
                  <c:v>32892.500000000022</c:v>
                </c:pt>
                <c:pt idx="113">
                  <c:v>33187.500000000022</c:v>
                </c:pt>
                <c:pt idx="114">
                  <c:v>33482.500000000029</c:v>
                </c:pt>
                <c:pt idx="115">
                  <c:v>33777.500000000029</c:v>
                </c:pt>
                <c:pt idx="116">
                  <c:v>34072.500000000029</c:v>
                </c:pt>
                <c:pt idx="117">
                  <c:v>34367.500000000029</c:v>
                </c:pt>
                <c:pt idx="118">
                  <c:v>34662.500000000029</c:v>
                </c:pt>
                <c:pt idx="119">
                  <c:v>34957.500000000029</c:v>
                </c:pt>
                <c:pt idx="120">
                  <c:v>35252.500000000029</c:v>
                </c:pt>
                <c:pt idx="121">
                  <c:v>35547.500000000029</c:v>
                </c:pt>
                <c:pt idx="122">
                  <c:v>35842.500000000029</c:v>
                </c:pt>
                <c:pt idx="123">
                  <c:v>36137.500000000029</c:v>
                </c:pt>
                <c:pt idx="124">
                  <c:v>36432.500000000029</c:v>
                </c:pt>
                <c:pt idx="125">
                  <c:v>36727.500000000029</c:v>
                </c:pt>
                <c:pt idx="126">
                  <c:v>37022.500000000022</c:v>
                </c:pt>
                <c:pt idx="127">
                  <c:v>37317.500000000022</c:v>
                </c:pt>
                <c:pt idx="128">
                  <c:v>37612.500000000022</c:v>
                </c:pt>
                <c:pt idx="129">
                  <c:v>37907.500000000029</c:v>
                </c:pt>
                <c:pt idx="130">
                  <c:v>38202.500000000029</c:v>
                </c:pt>
                <c:pt idx="131">
                  <c:v>38497.500000000029</c:v>
                </c:pt>
                <c:pt idx="132">
                  <c:v>38792.500000000029</c:v>
                </c:pt>
                <c:pt idx="133">
                  <c:v>39087.500000000029</c:v>
                </c:pt>
                <c:pt idx="134">
                  <c:v>39382.500000000029</c:v>
                </c:pt>
                <c:pt idx="135">
                  <c:v>39677.500000000029</c:v>
                </c:pt>
                <c:pt idx="136">
                  <c:v>39972.500000000029</c:v>
                </c:pt>
                <c:pt idx="137">
                  <c:v>40267.500000000029</c:v>
                </c:pt>
                <c:pt idx="138">
                  <c:v>40562.500000000029</c:v>
                </c:pt>
                <c:pt idx="139">
                  <c:v>40857.500000000029</c:v>
                </c:pt>
                <c:pt idx="140">
                  <c:v>41152.500000000029</c:v>
                </c:pt>
                <c:pt idx="141">
                  <c:v>41447.500000000029</c:v>
                </c:pt>
                <c:pt idx="142">
                  <c:v>41742.500000000029</c:v>
                </c:pt>
                <c:pt idx="143">
                  <c:v>42037.500000000029</c:v>
                </c:pt>
                <c:pt idx="144">
                  <c:v>42332.500000000029</c:v>
                </c:pt>
                <c:pt idx="145">
                  <c:v>42627.500000000029</c:v>
                </c:pt>
                <c:pt idx="146">
                  <c:v>42922.500000000029</c:v>
                </c:pt>
                <c:pt idx="147">
                  <c:v>43217.500000000029</c:v>
                </c:pt>
                <c:pt idx="148">
                  <c:v>43512.500000000029</c:v>
                </c:pt>
                <c:pt idx="149">
                  <c:v>43807.500000000029</c:v>
                </c:pt>
                <c:pt idx="150">
                  <c:v>44102.500000000029</c:v>
                </c:pt>
                <c:pt idx="151">
                  <c:v>44397.500000000029</c:v>
                </c:pt>
                <c:pt idx="152">
                  <c:v>44692.500000000029</c:v>
                </c:pt>
                <c:pt idx="153">
                  <c:v>44987.500000000029</c:v>
                </c:pt>
                <c:pt idx="154">
                  <c:v>45282.500000000029</c:v>
                </c:pt>
                <c:pt idx="155">
                  <c:v>45577.500000000029</c:v>
                </c:pt>
                <c:pt idx="156">
                  <c:v>45872.500000000029</c:v>
                </c:pt>
                <c:pt idx="157">
                  <c:v>46167.500000000036</c:v>
                </c:pt>
                <c:pt idx="158">
                  <c:v>46462.500000000036</c:v>
                </c:pt>
                <c:pt idx="159">
                  <c:v>46757.500000000036</c:v>
                </c:pt>
                <c:pt idx="160">
                  <c:v>47052.500000000036</c:v>
                </c:pt>
                <c:pt idx="161">
                  <c:v>47347.500000000036</c:v>
                </c:pt>
                <c:pt idx="162">
                  <c:v>47642.500000000036</c:v>
                </c:pt>
                <c:pt idx="163">
                  <c:v>47937.500000000036</c:v>
                </c:pt>
                <c:pt idx="164">
                  <c:v>48232.500000000036</c:v>
                </c:pt>
                <c:pt idx="165">
                  <c:v>48527.500000000036</c:v>
                </c:pt>
                <c:pt idx="166">
                  <c:v>48822.500000000036</c:v>
                </c:pt>
                <c:pt idx="167">
                  <c:v>49117.500000000036</c:v>
                </c:pt>
                <c:pt idx="168">
                  <c:v>49412.500000000036</c:v>
                </c:pt>
                <c:pt idx="169">
                  <c:v>49707.500000000036</c:v>
                </c:pt>
                <c:pt idx="170">
                  <c:v>50002.500000000036</c:v>
                </c:pt>
                <c:pt idx="171">
                  <c:v>50297.500000000036</c:v>
                </c:pt>
                <c:pt idx="172">
                  <c:v>50592.500000000036</c:v>
                </c:pt>
                <c:pt idx="173">
                  <c:v>50887.500000000036</c:v>
                </c:pt>
                <c:pt idx="174">
                  <c:v>51182.500000000036</c:v>
                </c:pt>
                <c:pt idx="175">
                  <c:v>51477.500000000036</c:v>
                </c:pt>
                <c:pt idx="176">
                  <c:v>51772.500000000036</c:v>
                </c:pt>
                <c:pt idx="177">
                  <c:v>52067.500000000036</c:v>
                </c:pt>
                <c:pt idx="178">
                  <c:v>52362.500000000036</c:v>
                </c:pt>
                <c:pt idx="179">
                  <c:v>52657.500000000036</c:v>
                </c:pt>
                <c:pt idx="180">
                  <c:v>52952.500000000036</c:v>
                </c:pt>
                <c:pt idx="181">
                  <c:v>53247.500000000036</c:v>
                </c:pt>
                <c:pt idx="182">
                  <c:v>53542.500000000036</c:v>
                </c:pt>
                <c:pt idx="183">
                  <c:v>53837.500000000036</c:v>
                </c:pt>
                <c:pt idx="184">
                  <c:v>54132.500000000036</c:v>
                </c:pt>
                <c:pt idx="185">
                  <c:v>54427.500000000044</c:v>
                </c:pt>
                <c:pt idx="186">
                  <c:v>54722.500000000044</c:v>
                </c:pt>
                <c:pt idx="187">
                  <c:v>55017.500000000044</c:v>
                </c:pt>
                <c:pt idx="188">
                  <c:v>55312.500000000044</c:v>
                </c:pt>
                <c:pt idx="189">
                  <c:v>55607.500000000044</c:v>
                </c:pt>
                <c:pt idx="190">
                  <c:v>55902.500000000044</c:v>
                </c:pt>
                <c:pt idx="191">
                  <c:v>56197.500000000044</c:v>
                </c:pt>
                <c:pt idx="192">
                  <c:v>56492.500000000044</c:v>
                </c:pt>
                <c:pt idx="193">
                  <c:v>56787.500000000044</c:v>
                </c:pt>
                <c:pt idx="194">
                  <c:v>57082.500000000044</c:v>
                </c:pt>
                <c:pt idx="195">
                  <c:v>57377.500000000044</c:v>
                </c:pt>
                <c:pt idx="196">
                  <c:v>57672.500000000044</c:v>
                </c:pt>
                <c:pt idx="197">
                  <c:v>57967.500000000044</c:v>
                </c:pt>
                <c:pt idx="198">
                  <c:v>58262.500000000044</c:v>
                </c:pt>
                <c:pt idx="199">
                  <c:v>58557.500000000044</c:v>
                </c:pt>
                <c:pt idx="200">
                  <c:v>58852.500000000044</c:v>
                </c:pt>
                <c:pt idx="201">
                  <c:v>59147.500000000044</c:v>
                </c:pt>
                <c:pt idx="202">
                  <c:v>59442.500000000044</c:v>
                </c:pt>
                <c:pt idx="203">
                  <c:v>59737.500000000044</c:v>
                </c:pt>
                <c:pt idx="204">
                  <c:v>60032.500000000044</c:v>
                </c:pt>
                <c:pt idx="205">
                  <c:v>60327.500000000044</c:v>
                </c:pt>
                <c:pt idx="206">
                  <c:v>60622.500000000044</c:v>
                </c:pt>
                <c:pt idx="207">
                  <c:v>60917.500000000044</c:v>
                </c:pt>
                <c:pt idx="208">
                  <c:v>61212.500000000044</c:v>
                </c:pt>
                <c:pt idx="209">
                  <c:v>61507.500000000044</c:v>
                </c:pt>
                <c:pt idx="210">
                  <c:v>61802.500000000044</c:v>
                </c:pt>
                <c:pt idx="211">
                  <c:v>62097.500000000044</c:v>
                </c:pt>
                <c:pt idx="212">
                  <c:v>62392.500000000044</c:v>
                </c:pt>
                <c:pt idx="213">
                  <c:v>62687.500000000051</c:v>
                </c:pt>
                <c:pt idx="214">
                  <c:v>62982.500000000051</c:v>
                </c:pt>
                <c:pt idx="215">
                  <c:v>63277.500000000051</c:v>
                </c:pt>
                <c:pt idx="216">
                  <c:v>63572.500000000051</c:v>
                </c:pt>
                <c:pt idx="217">
                  <c:v>63867.500000000051</c:v>
                </c:pt>
                <c:pt idx="218">
                  <c:v>64162.500000000051</c:v>
                </c:pt>
                <c:pt idx="219">
                  <c:v>64457.500000000051</c:v>
                </c:pt>
                <c:pt idx="220">
                  <c:v>64752.500000000051</c:v>
                </c:pt>
                <c:pt idx="221">
                  <c:v>65047.500000000051</c:v>
                </c:pt>
                <c:pt idx="222">
                  <c:v>65342.500000000051</c:v>
                </c:pt>
                <c:pt idx="223">
                  <c:v>65637.500000000044</c:v>
                </c:pt>
                <c:pt idx="224">
                  <c:v>65932.500000000044</c:v>
                </c:pt>
                <c:pt idx="225">
                  <c:v>66227.500000000044</c:v>
                </c:pt>
                <c:pt idx="226">
                  <c:v>66522.500000000044</c:v>
                </c:pt>
                <c:pt idx="227">
                  <c:v>66817.500000000058</c:v>
                </c:pt>
                <c:pt idx="228">
                  <c:v>67112.500000000058</c:v>
                </c:pt>
                <c:pt idx="229">
                  <c:v>67407.500000000058</c:v>
                </c:pt>
                <c:pt idx="230">
                  <c:v>67702.500000000058</c:v>
                </c:pt>
                <c:pt idx="231">
                  <c:v>67997.500000000058</c:v>
                </c:pt>
                <c:pt idx="232">
                  <c:v>68292.500000000058</c:v>
                </c:pt>
                <c:pt idx="233">
                  <c:v>68587.500000000058</c:v>
                </c:pt>
                <c:pt idx="234">
                  <c:v>68882.500000000058</c:v>
                </c:pt>
                <c:pt idx="235">
                  <c:v>69177.500000000058</c:v>
                </c:pt>
                <c:pt idx="236">
                  <c:v>69472.500000000058</c:v>
                </c:pt>
                <c:pt idx="237">
                  <c:v>69767.500000000058</c:v>
                </c:pt>
                <c:pt idx="238">
                  <c:v>70062.500000000058</c:v>
                </c:pt>
                <c:pt idx="239">
                  <c:v>70357.500000000058</c:v>
                </c:pt>
                <c:pt idx="240">
                  <c:v>70652.500000000058</c:v>
                </c:pt>
                <c:pt idx="241">
                  <c:v>70947.500000000058</c:v>
                </c:pt>
                <c:pt idx="242">
                  <c:v>71242.500000000058</c:v>
                </c:pt>
                <c:pt idx="243">
                  <c:v>71537.500000000058</c:v>
                </c:pt>
                <c:pt idx="244">
                  <c:v>71832.500000000058</c:v>
                </c:pt>
                <c:pt idx="245">
                  <c:v>72127.500000000058</c:v>
                </c:pt>
                <c:pt idx="246">
                  <c:v>72422.500000000058</c:v>
                </c:pt>
                <c:pt idx="247">
                  <c:v>72717.500000000058</c:v>
                </c:pt>
                <c:pt idx="248">
                  <c:v>73012.500000000058</c:v>
                </c:pt>
                <c:pt idx="249">
                  <c:v>73307.500000000058</c:v>
                </c:pt>
                <c:pt idx="250">
                  <c:v>73602.500000000058</c:v>
                </c:pt>
                <c:pt idx="251">
                  <c:v>73897.500000000044</c:v>
                </c:pt>
                <c:pt idx="252">
                  <c:v>74192.500000000044</c:v>
                </c:pt>
                <c:pt idx="253">
                  <c:v>74487.500000000044</c:v>
                </c:pt>
                <c:pt idx="254">
                  <c:v>74782.500000000044</c:v>
                </c:pt>
                <c:pt idx="255">
                  <c:v>75077.500000000044</c:v>
                </c:pt>
                <c:pt idx="256">
                  <c:v>75372.500000000044</c:v>
                </c:pt>
                <c:pt idx="257">
                  <c:v>75667.500000000044</c:v>
                </c:pt>
                <c:pt idx="258">
                  <c:v>75962.500000000058</c:v>
                </c:pt>
                <c:pt idx="259">
                  <c:v>76257.500000000058</c:v>
                </c:pt>
                <c:pt idx="260">
                  <c:v>76552.500000000058</c:v>
                </c:pt>
                <c:pt idx="261">
                  <c:v>76847.500000000058</c:v>
                </c:pt>
                <c:pt idx="262">
                  <c:v>77142.500000000058</c:v>
                </c:pt>
                <c:pt idx="263">
                  <c:v>77437.500000000058</c:v>
                </c:pt>
                <c:pt idx="264">
                  <c:v>77732.500000000058</c:v>
                </c:pt>
                <c:pt idx="265">
                  <c:v>78027.500000000058</c:v>
                </c:pt>
                <c:pt idx="266">
                  <c:v>78322.500000000058</c:v>
                </c:pt>
                <c:pt idx="267">
                  <c:v>78617.500000000058</c:v>
                </c:pt>
                <c:pt idx="268">
                  <c:v>78912.500000000058</c:v>
                </c:pt>
                <c:pt idx="269">
                  <c:v>79207.500000000058</c:v>
                </c:pt>
                <c:pt idx="270">
                  <c:v>79502.500000000058</c:v>
                </c:pt>
                <c:pt idx="271">
                  <c:v>79797.500000000058</c:v>
                </c:pt>
                <c:pt idx="272">
                  <c:v>80092.500000000058</c:v>
                </c:pt>
                <c:pt idx="273">
                  <c:v>80387.500000000058</c:v>
                </c:pt>
                <c:pt idx="274">
                  <c:v>80682.500000000058</c:v>
                </c:pt>
                <c:pt idx="275">
                  <c:v>80977.500000000058</c:v>
                </c:pt>
                <c:pt idx="276">
                  <c:v>81272.500000000058</c:v>
                </c:pt>
                <c:pt idx="277">
                  <c:v>81567.500000000058</c:v>
                </c:pt>
                <c:pt idx="278">
                  <c:v>81862.500000000058</c:v>
                </c:pt>
                <c:pt idx="279">
                  <c:v>82157.500000000058</c:v>
                </c:pt>
                <c:pt idx="280">
                  <c:v>82452.500000000058</c:v>
                </c:pt>
                <c:pt idx="281">
                  <c:v>82747.500000000058</c:v>
                </c:pt>
                <c:pt idx="282">
                  <c:v>83042.500000000058</c:v>
                </c:pt>
                <c:pt idx="283">
                  <c:v>83337.500000000058</c:v>
                </c:pt>
                <c:pt idx="284">
                  <c:v>83632.500000000058</c:v>
                </c:pt>
                <c:pt idx="285">
                  <c:v>83927.500000000058</c:v>
                </c:pt>
                <c:pt idx="286">
                  <c:v>84222.500000000058</c:v>
                </c:pt>
                <c:pt idx="287">
                  <c:v>84517.500000000058</c:v>
                </c:pt>
                <c:pt idx="288">
                  <c:v>84812.500000000058</c:v>
                </c:pt>
                <c:pt idx="289">
                  <c:v>85107.500000000058</c:v>
                </c:pt>
                <c:pt idx="290">
                  <c:v>85402.500000000058</c:v>
                </c:pt>
                <c:pt idx="291">
                  <c:v>85697.500000000058</c:v>
                </c:pt>
                <c:pt idx="292">
                  <c:v>85992.500000000058</c:v>
                </c:pt>
                <c:pt idx="293">
                  <c:v>86287.500000000058</c:v>
                </c:pt>
                <c:pt idx="294">
                  <c:v>86582.500000000058</c:v>
                </c:pt>
                <c:pt idx="295">
                  <c:v>86877.500000000058</c:v>
                </c:pt>
                <c:pt idx="296">
                  <c:v>87172.500000000058</c:v>
                </c:pt>
                <c:pt idx="297">
                  <c:v>87467.500000000058</c:v>
                </c:pt>
                <c:pt idx="298">
                  <c:v>87762.500000000058</c:v>
                </c:pt>
                <c:pt idx="299">
                  <c:v>88057.500000000058</c:v>
                </c:pt>
                <c:pt idx="300">
                  <c:v>88352.500000000058</c:v>
                </c:pt>
                <c:pt idx="301">
                  <c:v>88647.500000000058</c:v>
                </c:pt>
                <c:pt idx="302">
                  <c:v>88942.500000000058</c:v>
                </c:pt>
                <c:pt idx="303">
                  <c:v>89237.500000000058</c:v>
                </c:pt>
                <c:pt idx="304">
                  <c:v>89532.500000000058</c:v>
                </c:pt>
                <c:pt idx="305">
                  <c:v>89827.500000000058</c:v>
                </c:pt>
                <c:pt idx="306">
                  <c:v>90122.500000000058</c:v>
                </c:pt>
                <c:pt idx="307">
                  <c:v>90417.500000000058</c:v>
                </c:pt>
                <c:pt idx="308">
                  <c:v>90712.500000000058</c:v>
                </c:pt>
                <c:pt idx="309">
                  <c:v>91007.500000000058</c:v>
                </c:pt>
                <c:pt idx="310">
                  <c:v>91302.500000000058</c:v>
                </c:pt>
                <c:pt idx="311">
                  <c:v>91597.500000000058</c:v>
                </c:pt>
                <c:pt idx="312">
                  <c:v>91892.500000000058</c:v>
                </c:pt>
                <c:pt idx="313">
                  <c:v>92187.500000000073</c:v>
                </c:pt>
                <c:pt idx="314">
                  <c:v>92482.500000000073</c:v>
                </c:pt>
                <c:pt idx="315">
                  <c:v>92777.500000000073</c:v>
                </c:pt>
                <c:pt idx="316">
                  <c:v>93072.500000000073</c:v>
                </c:pt>
                <c:pt idx="317">
                  <c:v>93367.500000000073</c:v>
                </c:pt>
                <c:pt idx="318">
                  <c:v>93662.500000000073</c:v>
                </c:pt>
                <c:pt idx="319">
                  <c:v>93957.500000000073</c:v>
                </c:pt>
                <c:pt idx="320">
                  <c:v>94252.500000000073</c:v>
                </c:pt>
                <c:pt idx="321">
                  <c:v>94547.500000000073</c:v>
                </c:pt>
                <c:pt idx="322">
                  <c:v>94842.500000000073</c:v>
                </c:pt>
                <c:pt idx="323">
                  <c:v>95137.500000000073</c:v>
                </c:pt>
                <c:pt idx="324">
                  <c:v>95432.500000000073</c:v>
                </c:pt>
                <c:pt idx="325">
                  <c:v>95727.500000000073</c:v>
                </c:pt>
                <c:pt idx="326">
                  <c:v>96022.500000000073</c:v>
                </c:pt>
                <c:pt idx="327">
                  <c:v>96317.500000000073</c:v>
                </c:pt>
                <c:pt idx="328">
                  <c:v>96612.500000000073</c:v>
                </c:pt>
                <c:pt idx="329">
                  <c:v>96907.500000000073</c:v>
                </c:pt>
                <c:pt idx="330">
                  <c:v>97202.500000000073</c:v>
                </c:pt>
                <c:pt idx="331">
                  <c:v>97497.500000000073</c:v>
                </c:pt>
                <c:pt idx="332">
                  <c:v>97792.500000000073</c:v>
                </c:pt>
                <c:pt idx="333">
                  <c:v>98087.500000000073</c:v>
                </c:pt>
                <c:pt idx="334">
                  <c:v>98382.500000000073</c:v>
                </c:pt>
                <c:pt idx="335">
                  <c:v>98677.500000000073</c:v>
                </c:pt>
                <c:pt idx="336">
                  <c:v>98972.500000000073</c:v>
                </c:pt>
                <c:pt idx="337">
                  <c:v>99267.500000000073</c:v>
                </c:pt>
                <c:pt idx="338">
                  <c:v>99562.500000000073</c:v>
                </c:pt>
                <c:pt idx="339">
                  <c:v>99857.500000000073</c:v>
                </c:pt>
                <c:pt idx="340">
                  <c:v>100152.50000000007</c:v>
                </c:pt>
                <c:pt idx="341">
                  <c:v>100447.50000000007</c:v>
                </c:pt>
                <c:pt idx="342">
                  <c:v>100742.50000000007</c:v>
                </c:pt>
                <c:pt idx="343">
                  <c:v>101037.50000000007</c:v>
                </c:pt>
                <c:pt idx="344">
                  <c:v>101332.50000000007</c:v>
                </c:pt>
                <c:pt idx="345">
                  <c:v>101627.50000000007</c:v>
                </c:pt>
                <c:pt idx="346">
                  <c:v>101922.50000000007</c:v>
                </c:pt>
                <c:pt idx="347">
                  <c:v>102217.50000000007</c:v>
                </c:pt>
                <c:pt idx="348">
                  <c:v>102512.50000000007</c:v>
                </c:pt>
                <c:pt idx="349">
                  <c:v>102807.50000000007</c:v>
                </c:pt>
                <c:pt idx="350">
                  <c:v>103102.50000000007</c:v>
                </c:pt>
                <c:pt idx="351">
                  <c:v>103397.50000000007</c:v>
                </c:pt>
                <c:pt idx="352">
                  <c:v>103692.50000000007</c:v>
                </c:pt>
                <c:pt idx="353">
                  <c:v>103987.50000000007</c:v>
                </c:pt>
                <c:pt idx="354">
                  <c:v>104282.50000000007</c:v>
                </c:pt>
                <c:pt idx="355">
                  <c:v>104577.50000000007</c:v>
                </c:pt>
                <c:pt idx="356">
                  <c:v>104872.50000000007</c:v>
                </c:pt>
                <c:pt idx="357">
                  <c:v>105167.50000000007</c:v>
                </c:pt>
                <c:pt idx="358">
                  <c:v>105462.50000000007</c:v>
                </c:pt>
                <c:pt idx="359">
                  <c:v>105757.50000000007</c:v>
                </c:pt>
                <c:pt idx="360">
                  <c:v>106052.50000000007</c:v>
                </c:pt>
                <c:pt idx="361">
                  <c:v>106347.50000000007</c:v>
                </c:pt>
                <c:pt idx="362">
                  <c:v>106642.50000000007</c:v>
                </c:pt>
                <c:pt idx="363">
                  <c:v>106937.50000000007</c:v>
                </c:pt>
                <c:pt idx="364">
                  <c:v>107232.50000000007</c:v>
                </c:pt>
                <c:pt idx="365">
                  <c:v>107527.50000000007</c:v>
                </c:pt>
                <c:pt idx="366">
                  <c:v>107822.50000000007</c:v>
                </c:pt>
                <c:pt idx="367">
                  <c:v>108117.50000000007</c:v>
                </c:pt>
                <c:pt idx="368">
                  <c:v>108412.50000000007</c:v>
                </c:pt>
                <c:pt idx="369">
                  <c:v>108707.50000000009</c:v>
                </c:pt>
                <c:pt idx="370">
                  <c:v>109002.50000000009</c:v>
                </c:pt>
                <c:pt idx="371">
                  <c:v>109297.50000000009</c:v>
                </c:pt>
                <c:pt idx="372">
                  <c:v>109592.50000000009</c:v>
                </c:pt>
                <c:pt idx="373">
                  <c:v>109887.50000000009</c:v>
                </c:pt>
                <c:pt idx="374">
                  <c:v>110182.50000000009</c:v>
                </c:pt>
                <c:pt idx="375">
                  <c:v>110477.50000000009</c:v>
                </c:pt>
                <c:pt idx="376">
                  <c:v>110772.50000000009</c:v>
                </c:pt>
                <c:pt idx="377">
                  <c:v>111067.50000000009</c:v>
                </c:pt>
                <c:pt idx="378">
                  <c:v>111362.50000000009</c:v>
                </c:pt>
                <c:pt idx="379">
                  <c:v>111657.50000000009</c:v>
                </c:pt>
                <c:pt idx="380">
                  <c:v>111952.50000000009</c:v>
                </c:pt>
                <c:pt idx="381">
                  <c:v>112247.50000000009</c:v>
                </c:pt>
                <c:pt idx="382">
                  <c:v>112542.50000000009</c:v>
                </c:pt>
                <c:pt idx="383">
                  <c:v>112837.50000000009</c:v>
                </c:pt>
                <c:pt idx="384">
                  <c:v>113132.50000000009</c:v>
                </c:pt>
                <c:pt idx="385">
                  <c:v>113427.50000000009</c:v>
                </c:pt>
                <c:pt idx="386">
                  <c:v>113722.50000000009</c:v>
                </c:pt>
                <c:pt idx="387">
                  <c:v>114017.50000000009</c:v>
                </c:pt>
                <c:pt idx="388">
                  <c:v>114312.50000000009</c:v>
                </c:pt>
                <c:pt idx="389">
                  <c:v>114607.50000000009</c:v>
                </c:pt>
                <c:pt idx="390">
                  <c:v>114902.50000000009</c:v>
                </c:pt>
                <c:pt idx="391">
                  <c:v>115197.50000000009</c:v>
                </c:pt>
                <c:pt idx="392">
                  <c:v>115492.50000000009</c:v>
                </c:pt>
                <c:pt idx="393">
                  <c:v>115787.50000000009</c:v>
                </c:pt>
                <c:pt idx="394">
                  <c:v>116082.50000000009</c:v>
                </c:pt>
                <c:pt idx="395">
                  <c:v>116377.50000000009</c:v>
                </c:pt>
                <c:pt idx="396">
                  <c:v>116672.50000000009</c:v>
                </c:pt>
                <c:pt idx="397">
                  <c:v>116967.50000000009</c:v>
                </c:pt>
                <c:pt idx="398">
                  <c:v>117262.50000000009</c:v>
                </c:pt>
                <c:pt idx="399">
                  <c:v>117557.50000000009</c:v>
                </c:pt>
                <c:pt idx="400">
                  <c:v>117852.50000000009</c:v>
                </c:pt>
                <c:pt idx="401">
                  <c:v>118147.50000000009</c:v>
                </c:pt>
                <c:pt idx="402">
                  <c:v>118442.50000000009</c:v>
                </c:pt>
                <c:pt idx="403">
                  <c:v>118737.50000000009</c:v>
                </c:pt>
                <c:pt idx="404">
                  <c:v>119032.50000000009</c:v>
                </c:pt>
                <c:pt idx="405">
                  <c:v>119327.50000000009</c:v>
                </c:pt>
                <c:pt idx="406">
                  <c:v>119622.50000000009</c:v>
                </c:pt>
                <c:pt idx="407">
                  <c:v>119917.50000000009</c:v>
                </c:pt>
                <c:pt idx="408">
                  <c:v>120212.50000000009</c:v>
                </c:pt>
                <c:pt idx="409">
                  <c:v>120507.50000000009</c:v>
                </c:pt>
                <c:pt idx="410">
                  <c:v>120802.50000000009</c:v>
                </c:pt>
                <c:pt idx="411">
                  <c:v>121097.50000000009</c:v>
                </c:pt>
                <c:pt idx="412">
                  <c:v>121392.50000000009</c:v>
                </c:pt>
                <c:pt idx="413">
                  <c:v>121687.50000000009</c:v>
                </c:pt>
                <c:pt idx="414">
                  <c:v>121982.50000000009</c:v>
                </c:pt>
                <c:pt idx="415">
                  <c:v>122277.50000000009</c:v>
                </c:pt>
                <c:pt idx="416">
                  <c:v>122572.50000000009</c:v>
                </c:pt>
                <c:pt idx="417">
                  <c:v>122867.50000000009</c:v>
                </c:pt>
                <c:pt idx="418">
                  <c:v>123162.50000000009</c:v>
                </c:pt>
                <c:pt idx="419">
                  <c:v>123457.50000000009</c:v>
                </c:pt>
                <c:pt idx="420">
                  <c:v>123752.50000000009</c:v>
                </c:pt>
                <c:pt idx="421">
                  <c:v>124047.50000000009</c:v>
                </c:pt>
              </c:numCache>
            </c:numRef>
          </c:xVal>
          <c:yVal>
            <c:numRef>
              <c:f>'Credit Portfolio'!$Y$5:$Y$426</c:f>
              <c:numCache>
                <c:formatCode>0.00000</c:formatCode>
                <c:ptCount val="422"/>
                <c:pt idx="0">
                  <c:v>1</c:v>
                </c:pt>
                <c:pt idx="1">
                  <c:v>0.81799999999999995</c:v>
                </c:pt>
                <c:pt idx="2">
                  <c:v>0.64849999999999997</c:v>
                </c:pt>
                <c:pt idx="3">
                  <c:v>0.5091</c:v>
                </c:pt>
                <c:pt idx="4">
                  <c:v>0.5091</c:v>
                </c:pt>
                <c:pt idx="5">
                  <c:v>0.40129999999999999</c:v>
                </c:pt>
                <c:pt idx="6">
                  <c:v>0.3216</c:v>
                </c:pt>
                <c:pt idx="7">
                  <c:v>0.27200000000000002</c:v>
                </c:pt>
                <c:pt idx="8">
                  <c:v>0.21920000000000001</c:v>
                </c:pt>
                <c:pt idx="9">
                  <c:v>0.1857</c:v>
                </c:pt>
                <c:pt idx="10">
                  <c:v>0.15540000000000001</c:v>
                </c:pt>
                <c:pt idx="11">
                  <c:v>0.13669999999999999</c:v>
                </c:pt>
                <c:pt idx="12">
                  <c:v>0.1133</c:v>
                </c:pt>
                <c:pt idx="13">
                  <c:v>0.1012</c:v>
                </c:pt>
                <c:pt idx="14">
                  <c:v>8.5000000000000006E-2</c:v>
                </c:pt>
                <c:pt idx="15">
                  <c:v>7.3800000000000004E-2</c:v>
                </c:pt>
                <c:pt idx="16">
                  <c:v>6.2700000000000006E-2</c:v>
                </c:pt>
                <c:pt idx="17">
                  <c:v>5.4399999999999997E-2</c:v>
                </c:pt>
                <c:pt idx="18">
                  <c:v>4.6699999999999998E-2</c:v>
                </c:pt>
                <c:pt idx="19">
                  <c:v>3.9399999999999998E-2</c:v>
                </c:pt>
                <c:pt idx="20">
                  <c:v>3.4500000000000003E-2</c:v>
                </c:pt>
                <c:pt idx="21">
                  <c:v>0.03</c:v>
                </c:pt>
                <c:pt idx="22">
                  <c:v>2.6599999999999999E-2</c:v>
                </c:pt>
                <c:pt idx="23">
                  <c:v>2.2800000000000001E-2</c:v>
                </c:pt>
                <c:pt idx="24">
                  <c:v>2.0500000000000001E-2</c:v>
                </c:pt>
                <c:pt idx="25">
                  <c:v>1.7000000000000001E-2</c:v>
                </c:pt>
                <c:pt idx="26">
                  <c:v>1.54E-2</c:v>
                </c:pt>
                <c:pt idx="27">
                  <c:v>1.2800000000000001E-2</c:v>
                </c:pt>
                <c:pt idx="28">
                  <c:v>1.14E-2</c:v>
                </c:pt>
                <c:pt idx="29">
                  <c:v>1.0500000000000001E-2</c:v>
                </c:pt>
                <c:pt idx="30">
                  <c:v>9.1999999999999998E-3</c:v>
                </c:pt>
                <c:pt idx="31">
                  <c:v>8.2000000000000007E-3</c:v>
                </c:pt>
                <c:pt idx="32">
                  <c:v>7.1999999999999998E-3</c:v>
                </c:pt>
                <c:pt idx="33">
                  <c:v>6.4000000000000003E-3</c:v>
                </c:pt>
                <c:pt idx="34">
                  <c:v>5.5999999999999999E-3</c:v>
                </c:pt>
                <c:pt idx="35">
                  <c:v>4.8999999999999998E-3</c:v>
                </c:pt>
                <c:pt idx="36">
                  <c:v>4.1999999999999997E-3</c:v>
                </c:pt>
                <c:pt idx="37">
                  <c:v>3.8999999999999998E-3</c:v>
                </c:pt>
                <c:pt idx="38">
                  <c:v>3.7000000000000002E-3</c:v>
                </c:pt>
                <c:pt idx="39">
                  <c:v>2.8999999999999998E-3</c:v>
                </c:pt>
                <c:pt idx="40">
                  <c:v>2.3E-3</c:v>
                </c:pt>
                <c:pt idx="41">
                  <c:v>2E-3</c:v>
                </c:pt>
                <c:pt idx="42">
                  <c:v>2E-3</c:v>
                </c:pt>
                <c:pt idx="43">
                  <c:v>1.6000000000000001E-3</c:v>
                </c:pt>
                <c:pt idx="44">
                  <c:v>1.4E-3</c:v>
                </c:pt>
                <c:pt idx="45">
                  <c:v>1.4E-3</c:v>
                </c:pt>
                <c:pt idx="46">
                  <c:v>1.1000000000000001E-3</c:v>
                </c:pt>
                <c:pt idx="47">
                  <c:v>1E-3</c:v>
                </c:pt>
                <c:pt idx="48">
                  <c:v>8.0000000000000004E-4</c:v>
                </c:pt>
                <c:pt idx="49">
                  <c:v>5.0000000000000001E-4</c:v>
                </c:pt>
                <c:pt idx="50">
                  <c:v>2.9999999999999997E-4</c:v>
                </c:pt>
                <c:pt idx="51">
                  <c:v>2.9999999999999997E-4</c:v>
                </c:pt>
                <c:pt idx="52">
                  <c:v>2.9999999999999997E-4</c:v>
                </c:pt>
                <c:pt idx="53">
                  <c:v>2.0000000000000001E-4</c:v>
                </c:pt>
                <c:pt idx="54">
                  <c:v>1E-4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 formatCode="0.000000">
                  <c:v>0</c:v>
                </c:pt>
                <c:pt idx="60" formatCode="0.000000">
                  <c:v>0</c:v>
                </c:pt>
                <c:pt idx="61" formatCode="0.000000">
                  <c:v>0</c:v>
                </c:pt>
                <c:pt idx="62" formatCode="0.000000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 formatCode="0.0000000">
                  <c:v>0</c:v>
                </c:pt>
                <c:pt idx="75" formatCode="0.00000000">
                  <c:v>0</c:v>
                </c:pt>
                <c:pt idx="76" formatCode="0.00000000">
                  <c:v>0</c:v>
                </c:pt>
                <c:pt idx="77" formatCode="0.00000000">
                  <c:v>0</c:v>
                </c:pt>
                <c:pt idx="78" formatCode="0.00000000">
                  <c:v>0</c:v>
                </c:pt>
                <c:pt idx="79" formatCode="0.00000000">
                  <c:v>0</c:v>
                </c:pt>
                <c:pt idx="80" formatCode="0.00000000">
                  <c:v>0</c:v>
                </c:pt>
                <c:pt idx="81" formatCode="0.00000000">
                  <c:v>0</c:v>
                </c:pt>
                <c:pt idx="82" formatCode="0.00000000">
                  <c:v>0</c:v>
                </c:pt>
                <c:pt idx="83" formatCode="0.00000000">
                  <c:v>0</c:v>
                </c:pt>
                <c:pt idx="84" formatCode="0.00000000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04-4BA5-B2EC-6C04CD4B7B56}"/>
            </c:ext>
          </c:extLst>
        </c:ser>
        <c:ser>
          <c:idx val="2"/>
          <c:order val="1"/>
          <c:tx>
            <c:strRef>
              <c:f>'Credit Portfolio'!$Z$4</c:f>
              <c:strCache>
                <c:ptCount val="1"/>
                <c:pt idx="0">
                  <c:v>Conditional Normal Approximation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Portfolio'!$X$5:$X$426</c:f>
              <c:numCache>
                <c:formatCode>General</c:formatCode>
                <c:ptCount val="422"/>
                <c:pt idx="0">
                  <c:v>0</c:v>
                </c:pt>
                <c:pt idx="1">
                  <c:v>147.5</c:v>
                </c:pt>
                <c:pt idx="2">
                  <c:v>442.5</c:v>
                </c:pt>
                <c:pt idx="3">
                  <c:v>737.5</c:v>
                </c:pt>
                <c:pt idx="4">
                  <c:v>1032.5</c:v>
                </c:pt>
                <c:pt idx="5">
                  <c:v>1327.5000000000002</c:v>
                </c:pt>
                <c:pt idx="6">
                  <c:v>1622.5000000000002</c:v>
                </c:pt>
                <c:pt idx="7">
                  <c:v>1917.5000000000002</c:v>
                </c:pt>
                <c:pt idx="8">
                  <c:v>2212.5</c:v>
                </c:pt>
                <c:pt idx="9">
                  <c:v>2507.5</c:v>
                </c:pt>
                <c:pt idx="10">
                  <c:v>2802.5000000000005</c:v>
                </c:pt>
                <c:pt idx="11">
                  <c:v>3097.5000000000009</c:v>
                </c:pt>
                <c:pt idx="12">
                  <c:v>3392.5000000000009</c:v>
                </c:pt>
                <c:pt idx="13">
                  <c:v>3687.5000000000014</c:v>
                </c:pt>
                <c:pt idx="14">
                  <c:v>3982.5000000000014</c:v>
                </c:pt>
                <c:pt idx="15">
                  <c:v>4277.5000000000018</c:v>
                </c:pt>
                <c:pt idx="16">
                  <c:v>4572.5000000000018</c:v>
                </c:pt>
                <c:pt idx="17">
                  <c:v>4867.5000000000027</c:v>
                </c:pt>
                <c:pt idx="18">
                  <c:v>5162.5000000000027</c:v>
                </c:pt>
                <c:pt idx="19">
                  <c:v>5457.5000000000027</c:v>
                </c:pt>
                <c:pt idx="20">
                  <c:v>5752.5000000000027</c:v>
                </c:pt>
                <c:pt idx="21">
                  <c:v>6047.5000000000036</c:v>
                </c:pt>
                <c:pt idx="22">
                  <c:v>6342.5000000000036</c:v>
                </c:pt>
                <c:pt idx="23">
                  <c:v>6637.5000000000036</c:v>
                </c:pt>
                <c:pt idx="24">
                  <c:v>6932.5000000000045</c:v>
                </c:pt>
                <c:pt idx="25">
                  <c:v>7227.5000000000045</c:v>
                </c:pt>
                <c:pt idx="26">
                  <c:v>7522.5000000000045</c:v>
                </c:pt>
                <c:pt idx="27">
                  <c:v>7817.5000000000045</c:v>
                </c:pt>
                <c:pt idx="28">
                  <c:v>8112.5000000000055</c:v>
                </c:pt>
                <c:pt idx="29">
                  <c:v>8407.5000000000055</c:v>
                </c:pt>
                <c:pt idx="30">
                  <c:v>8702.5000000000055</c:v>
                </c:pt>
                <c:pt idx="31">
                  <c:v>8997.5000000000055</c:v>
                </c:pt>
                <c:pt idx="32">
                  <c:v>9292.5000000000055</c:v>
                </c:pt>
                <c:pt idx="33">
                  <c:v>9587.5000000000073</c:v>
                </c:pt>
                <c:pt idx="34">
                  <c:v>9882.5000000000073</c:v>
                </c:pt>
                <c:pt idx="35">
                  <c:v>10177.500000000007</c:v>
                </c:pt>
                <c:pt idx="36">
                  <c:v>10472.500000000007</c:v>
                </c:pt>
                <c:pt idx="37">
                  <c:v>10767.500000000007</c:v>
                </c:pt>
                <c:pt idx="38">
                  <c:v>11062.500000000007</c:v>
                </c:pt>
                <c:pt idx="39">
                  <c:v>11357.500000000007</c:v>
                </c:pt>
                <c:pt idx="40">
                  <c:v>11652.500000000009</c:v>
                </c:pt>
                <c:pt idx="41">
                  <c:v>11947.500000000009</c:v>
                </c:pt>
                <c:pt idx="42">
                  <c:v>12242.500000000009</c:v>
                </c:pt>
                <c:pt idx="43">
                  <c:v>12537.500000000009</c:v>
                </c:pt>
                <c:pt idx="44">
                  <c:v>12832.500000000009</c:v>
                </c:pt>
                <c:pt idx="45">
                  <c:v>13127.500000000009</c:v>
                </c:pt>
                <c:pt idx="46">
                  <c:v>13422.500000000009</c:v>
                </c:pt>
                <c:pt idx="47">
                  <c:v>13717.500000000011</c:v>
                </c:pt>
                <c:pt idx="48">
                  <c:v>14012.500000000011</c:v>
                </c:pt>
                <c:pt idx="49">
                  <c:v>14307.500000000011</c:v>
                </c:pt>
                <c:pt idx="50">
                  <c:v>14602.500000000011</c:v>
                </c:pt>
                <c:pt idx="51">
                  <c:v>14897.500000000011</c:v>
                </c:pt>
                <c:pt idx="52">
                  <c:v>15192.500000000011</c:v>
                </c:pt>
                <c:pt idx="53">
                  <c:v>15487.500000000011</c:v>
                </c:pt>
                <c:pt idx="54">
                  <c:v>15782.500000000013</c:v>
                </c:pt>
                <c:pt idx="55">
                  <c:v>16077.500000000013</c:v>
                </c:pt>
                <c:pt idx="56">
                  <c:v>16372.500000000013</c:v>
                </c:pt>
                <c:pt idx="57">
                  <c:v>16667.500000000015</c:v>
                </c:pt>
                <c:pt idx="58">
                  <c:v>16962.500000000015</c:v>
                </c:pt>
                <c:pt idx="59">
                  <c:v>17257.500000000015</c:v>
                </c:pt>
                <c:pt idx="60">
                  <c:v>17552.500000000015</c:v>
                </c:pt>
                <c:pt idx="61">
                  <c:v>17847.500000000015</c:v>
                </c:pt>
                <c:pt idx="62">
                  <c:v>18142.500000000015</c:v>
                </c:pt>
                <c:pt idx="63">
                  <c:v>18437.500000000011</c:v>
                </c:pt>
                <c:pt idx="64">
                  <c:v>18732.500000000011</c:v>
                </c:pt>
                <c:pt idx="65">
                  <c:v>19027.500000000015</c:v>
                </c:pt>
                <c:pt idx="66">
                  <c:v>19322.500000000015</c:v>
                </c:pt>
                <c:pt idx="67">
                  <c:v>19617.500000000015</c:v>
                </c:pt>
                <c:pt idx="68">
                  <c:v>19912.500000000015</c:v>
                </c:pt>
                <c:pt idx="69">
                  <c:v>20207.500000000015</c:v>
                </c:pt>
                <c:pt idx="70">
                  <c:v>20502.500000000015</c:v>
                </c:pt>
                <c:pt idx="71">
                  <c:v>20797.500000000015</c:v>
                </c:pt>
                <c:pt idx="72">
                  <c:v>21092.500000000015</c:v>
                </c:pt>
                <c:pt idx="73">
                  <c:v>21387.500000000015</c:v>
                </c:pt>
                <c:pt idx="74">
                  <c:v>21682.500000000015</c:v>
                </c:pt>
                <c:pt idx="75">
                  <c:v>21977.500000000015</c:v>
                </c:pt>
                <c:pt idx="76">
                  <c:v>22272.500000000015</c:v>
                </c:pt>
                <c:pt idx="77">
                  <c:v>22567.500000000015</c:v>
                </c:pt>
                <c:pt idx="78">
                  <c:v>22862.500000000015</c:v>
                </c:pt>
                <c:pt idx="79">
                  <c:v>23157.500000000018</c:v>
                </c:pt>
                <c:pt idx="80">
                  <c:v>23452.500000000018</c:v>
                </c:pt>
                <c:pt idx="81">
                  <c:v>23747.500000000018</c:v>
                </c:pt>
                <c:pt idx="82">
                  <c:v>24042.500000000018</c:v>
                </c:pt>
                <c:pt idx="83">
                  <c:v>24337.500000000018</c:v>
                </c:pt>
                <c:pt idx="84">
                  <c:v>24632.500000000018</c:v>
                </c:pt>
                <c:pt idx="85">
                  <c:v>24927.500000000018</c:v>
                </c:pt>
                <c:pt idx="86">
                  <c:v>25222.500000000018</c:v>
                </c:pt>
                <c:pt idx="87">
                  <c:v>25517.500000000018</c:v>
                </c:pt>
                <c:pt idx="88">
                  <c:v>25812.500000000018</c:v>
                </c:pt>
                <c:pt idx="89">
                  <c:v>26107.500000000018</c:v>
                </c:pt>
                <c:pt idx="90">
                  <c:v>26402.500000000018</c:v>
                </c:pt>
                <c:pt idx="91">
                  <c:v>26697.500000000018</c:v>
                </c:pt>
                <c:pt idx="92">
                  <c:v>26992.500000000018</c:v>
                </c:pt>
                <c:pt idx="93">
                  <c:v>27287.500000000022</c:v>
                </c:pt>
                <c:pt idx="94">
                  <c:v>27582.500000000022</c:v>
                </c:pt>
                <c:pt idx="95">
                  <c:v>27877.500000000022</c:v>
                </c:pt>
                <c:pt idx="96">
                  <c:v>28172.500000000022</c:v>
                </c:pt>
                <c:pt idx="97">
                  <c:v>28467.500000000022</c:v>
                </c:pt>
                <c:pt idx="98">
                  <c:v>28762.500000000022</c:v>
                </c:pt>
                <c:pt idx="99">
                  <c:v>29057.500000000022</c:v>
                </c:pt>
                <c:pt idx="100">
                  <c:v>29352.500000000022</c:v>
                </c:pt>
                <c:pt idx="101">
                  <c:v>29647.500000000022</c:v>
                </c:pt>
                <c:pt idx="102">
                  <c:v>29942.500000000022</c:v>
                </c:pt>
                <c:pt idx="103">
                  <c:v>30237.500000000022</c:v>
                </c:pt>
                <c:pt idx="104">
                  <c:v>30532.500000000022</c:v>
                </c:pt>
                <c:pt idx="105">
                  <c:v>30827.500000000022</c:v>
                </c:pt>
                <c:pt idx="106">
                  <c:v>31122.500000000022</c:v>
                </c:pt>
                <c:pt idx="107">
                  <c:v>31417.500000000025</c:v>
                </c:pt>
                <c:pt idx="108">
                  <c:v>31712.500000000025</c:v>
                </c:pt>
                <c:pt idx="109">
                  <c:v>32007.500000000025</c:v>
                </c:pt>
                <c:pt idx="110">
                  <c:v>32302.500000000025</c:v>
                </c:pt>
                <c:pt idx="111">
                  <c:v>32597.500000000025</c:v>
                </c:pt>
                <c:pt idx="112">
                  <c:v>32892.500000000022</c:v>
                </c:pt>
                <c:pt idx="113">
                  <c:v>33187.500000000022</c:v>
                </c:pt>
                <c:pt idx="114">
                  <c:v>33482.500000000029</c:v>
                </c:pt>
                <c:pt idx="115">
                  <c:v>33777.500000000029</c:v>
                </c:pt>
                <c:pt idx="116">
                  <c:v>34072.500000000029</c:v>
                </c:pt>
                <c:pt idx="117">
                  <c:v>34367.500000000029</c:v>
                </c:pt>
                <c:pt idx="118">
                  <c:v>34662.500000000029</c:v>
                </c:pt>
                <c:pt idx="119">
                  <c:v>34957.500000000029</c:v>
                </c:pt>
                <c:pt idx="120">
                  <c:v>35252.500000000029</c:v>
                </c:pt>
                <c:pt idx="121">
                  <c:v>35547.500000000029</c:v>
                </c:pt>
                <c:pt idx="122">
                  <c:v>35842.500000000029</c:v>
                </c:pt>
                <c:pt idx="123">
                  <c:v>36137.500000000029</c:v>
                </c:pt>
                <c:pt idx="124">
                  <c:v>36432.500000000029</c:v>
                </c:pt>
                <c:pt idx="125">
                  <c:v>36727.500000000029</c:v>
                </c:pt>
                <c:pt idx="126">
                  <c:v>37022.500000000022</c:v>
                </c:pt>
                <c:pt idx="127">
                  <c:v>37317.500000000022</c:v>
                </c:pt>
                <c:pt idx="128">
                  <c:v>37612.500000000022</c:v>
                </c:pt>
                <c:pt idx="129">
                  <c:v>37907.500000000029</c:v>
                </c:pt>
                <c:pt idx="130">
                  <c:v>38202.500000000029</c:v>
                </c:pt>
                <c:pt idx="131">
                  <c:v>38497.500000000029</c:v>
                </c:pt>
                <c:pt idx="132">
                  <c:v>38792.500000000029</c:v>
                </c:pt>
                <c:pt idx="133">
                  <c:v>39087.500000000029</c:v>
                </c:pt>
                <c:pt idx="134">
                  <c:v>39382.500000000029</c:v>
                </c:pt>
                <c:pt idx="135">
                  <c:v>39677.500000000029</c:v>
                </c:pt>
                <c:pt idx="136">
                  <c:v>39972.500000000029</c:v>
                </c:pt>
                <c:pt idx="137">
                  <c:v>40267.500000000029</c:v>
                </c:pt>
                <c:pt idx="138">
                  <c:v>40562.500000000029</c:v>
                </c:pt>
                <c:pt idx="139">
                  <c:v>40857.500000000029</c:v>
                </c:pt>
                <c:pt idx="140">
                  <c:v>41152.500000000029</c:v>
                </c:pt>
                <c:pt idx="141">
                  <c:v>41447.500000000029</c:v>
                </c:pt>
                <c:pt idx="142">
                  <c:v>41742.500000000029</c:v>
                </c:pt>
                <c:pt idx="143">
                  <c:v>42037.500000000029</c:v>
                </c:pt>
                <c:pt idx="144">
                  <c:v>42332.500000000029</c:v>
                </c:pt>
                <c:pt idx="145">
                  <c:v>42627.500000000029</c:v>
                </c:pt>
                <c:pt idx="146">
                  <c:v>42922.500000000029</c:v>
                </c:pt>
                <c:pt idx="147">
                  <c:v>43217.500000000029</c:v>
                </c:pt>
                <c:pt idx="148">
                  <c:v>43512.500000000029</c:v>
                </c:pt>
                <c:pt idx="149">
                  <c:v>43807.500000000029</c:v>
                </c:pt>
                <c:pt idx="150">
                  <c:v>44102.500000000029</c:v>
                </c:pt>
                <c:pt idx="151">
                  <c:v>44397.500000000029</c:v>
                </c:pt>
                <c:pt idx="152">
                  <c:v>44692.500000000029</c:v>
                </c:pt>
                <c:pt idx="153">
                  <c:v>44987.500000000029</c:v>
                </c:pt>
                <c:pt idx="154">
                  <c:v>45282.500000000029</c:v>
                </c:pt>
                <c:pt idx="155">
                  <c:v>45577.500000000029</c:v>
                </c:pt>
                <c:pt idx="156">
                  <c:v>45872.500000000029</c:v>
                </c:pt>
                <c:pt idx="157">
                  <c:v>46167.500000000036</c:v>
                </c:pt>
                <c:pt idx="158">
                  <c:v>46462.500000000036</c:v>
                </c:pt>
                <c:pt idx="159">
                  <c:v>46757.500000000036</c:v>
                </c:pt>
                <c:pt idx="160">
                  <c:v>47052.500000000036</c:v>
                </c:pt>
                <c:pt idx="161">
                  <c:v>47347.500000000036</c:v>
                </c:pt>
                <c:pt idx="162">
                  <c:v>47642.500000000036</c:v>
                </c:pt>
                <c:pt idx="163">
                  <c:v>47937.500000000036</c:v>
                </c:pt>
                <c:pt idx="164">
                  <c:v>48232.500000000036</c:v>
                </c:pt>
                <c:pt idx="165">
                  <c:v>48527.500000000036</c:v>
                </c:pt>
                <c:pt idx="166">
                  <c:v>48822.500000000036</c:v>
                </c:pt>
                <c:pt idx="167">
                  <c:v>49117.500000000036</c:v>
                </c:pt>
                <c:pt idx="168">
                  <c:v>49412.500000000036</c:v>
                </c:pt>
                <c:pt idx="169">
                  <c:v>49707.500000000036</c:v>
                </c:pt>
                <c:pt idx="170">
                  <c:v>50002.500000000036</c:v>
                </c:pt>
                <c:pt idx="171">
                  <c:v>50297.500000000036</c:v>
                </c:pt>
                <c:pt idx="172">
                  <c:v>50592.500000000036</c:v>
                </c:pt>
                <c:pt idx="173">
                  <c:v>50887.500000000036</c:v>
                </c:pt>
                <c:pt idx="174">
                  <c:v>51182.500000000036</c:v>
                </c:pt>
                <c:pt idx="175">
                  <c:v>51477.500000000036</c:v>
                </c:pt>
                <c:pt idx="176">
                  <c:v>51772.500000000036</c:v>
                </c:pt>
                <c:pt idx="177">
                  <c:v>52067.500000000036</c:v>
                </c:pt>
                <c:pt idx="178">
                  <c:v>52362.500000000036</c:v>
                </c:pt>
                <c:pt idx="179">
                  <c:v>52657.500000000036</c:v>
                </c:pt>
                <c:pt idx="180">
                  <c:v>52952.500000000036</c:v>
                </c:pt>
                <c:pt idx="181">
                  <c:v>53247.500000000036</c:v>
                </c:pt>
                <c:pt idx="182">
                  <c:v>53542.500000000036</c:v>
                </c:pt>
                <c:pt idx="183">
                  <c:v>53837.500000000036</c:v>
                </c:pt>
                <c:pt idx="184">
                  <c:v>54132.500000000036</c:v>
                </c:pt>
                <c:pt idx="185">
                  <c:v>54427.500000000044</c:v>
                </c:pt>
                <c:pt idx="186">
                  <c:v>54722.500000000044</c:v>
                </c:pt>
                <c:pt idx="187">
                  <c:v>55017.500000000044</c:v>
                </c:pt>
                <c:pt idx="188">
                  <c:v>55312.500000000044</c:v>
                </c:pt>
                <c:pt idx="189">
                  <c:v>55607.500000000044</c:v>
                </c:pt>
                <c:pt idx="190">
                  <c:v>55902.500000000044</c:v>
                </c:pt>
                <c:pt idx="191">
                  <c:v>56197.500000000044</c:v>
                </c:pt>
                <c:pt idx="192">
                  <c:v>56492.500000000044</c:v>
                </c:pt>
                <c:pt idx="193">
                  <c:v>56787.500000000044</c:v>
                </c:pt>
                <c:pt idx="194">
                  <c:v>57082.500000000044</c:v>
                </c:pt>
                <c:pt idx="195">
                  <c:v>57377.500000000044</c:v>
                </c:pt>
                <c:pt idx="196">
                  <c:v>57672.500000000044</c:v>
                </c:pt>
                <c:pt idx="197">
                  <c:v>57967.500000000044</c:v>
                </c:pt>
                <c:pt idx="198">
                  <c:v>58262.500000000044</c:v>
                </c:pt>
                <c:pt idx="199">
                  <c:v>58557.500000000044</c:v>
                </c:pt>
                <c:pt idx="200">
                  <c:v>58852.500000000044</c:v>
                </c:pt>
                <c:pt idx="201">
                  <c:v>59147.500000000044</c:v>
                </c:pt>
                <c:pt idx="202">
                  <c:v>59442.500000000044</c:v>
                </c:pt>
                <c:pt idx="203">
                  <c:v>59737.500000000044</c:v>
                </c:pt>
                <c:pt idx="204">
                  <c:v>60032.500000000044</c:v>
                </c:pt>
                <c:pt idx="205">
                  <c:v>60327.500000000044</c:v>
                </c:pt>
                <c:pt idx="206">
                  <c:v>60622.500000000044</c:v>
                </c:pt>
                <c:pt idx="207">
                  <c:v>60917.500000000044</c:v>
                </c:pt>
                <c:pt idx="208">
                  <c:v>61212.500000000044</c:v>
                </c:pt>
                <c:pt idx="209">
                  <c:v>61507.500000000044</c:v>
                </c:pt>
                <c:pt idx="210">
                  <c:v>61802.500000000044</c:v>
                </c:pt>
                <c:pt idx="211">
                  <c:v>62097.500000000044</c:v>
                </c:pt>
                <c:pt idx="212">
                  <c:v>62392.500000000044</c:v>
                </c:pt>
                <c:pt idx="213">
                  <c:v>62687.500000000051</c:v>
                </c:pt>
                <c:pt idx="214">
                  <c:v>62982.500000000051</c:v>
                </c:pt>
                <c:pt idx="215">
                  <c:v>63277.500000000051</c:v>
                </c:pt>
                <c:pt idx="216">
                  <c:v>63572.500000000051</c:v>
                </c:pt>
                <c:pt idx="217">
                  <c:v>63867.500000000051</c:v>
                </c:pt>
                <c:pt idx="218">
                  <c:v>64162.500000000051</c:v>
                </c:pt>
                <c:pt idx="219">
                  <c:v>64457.500000000051</c:v>
                </c:pt>
                <c:pt idx="220">
                  <c:v>64752.500000000051</c:v>
                </c:pt>
                <c:pt idx="221">
                  <c:v>65047.500000000051</c:v>
                </c:pt>
                <c:pt idx="222">
                  <c:v>65342.500000000051</c:v>
                </c:pt>
                <c:pt idx="223">
                  <c:v>65637.500000000044</c:v>
                </c:pt>
                <c:pt idx="224">
                  <c:v>65932.500000000044</c:v>
                </c:pt>
                <c:pt idx="225">
                  <c:v>66227.500000000044</c:v>
                </c:pt>
                <c:pt idx="226">
                  <c:v>66522.500000000044</c:v>
                </c:pt>
                <c:pt idx="227">
                  <c:v>66817.500000000058</c:v>
                </c:pt>
                <c:pt idx="228">
                  <c:v>67112.500000000058</c:v>
                </c:pt>
                <c:pt idx="229">
                  <c:v>67407.500000000058</c:v>
                </c:pt>
                <c:pt idx="230">
                  <c:v>67702.500000000058</c:v>
                </c:pt>
                <c:pt idx="231">
                  <c:v>67997.500000000058</c:v>
                </c:pt>
                <c:pt idx="232">
                  <c:v>68292.500000000058</c:v>
                </c:pt>
                <c:pt idx="233">
                  <c:v>68587.500000000058</c:v>
                </c:pt>
                <c:pt idx="234">
                  <c:v>68882.500000000058</c:v>
                </c:pt>
                <c:pt idx="235">
                  <c:v>69177.500000000058</c:v>
                </c:pt>
                <c:pt idx="236">
                  <c:v>69472.500000000058</c:v>
                </c:pt>
                <c:pt idx="237">
                  <c:v>69767.500000000058</c:v>
                </c:pt>
                <c:pt idx="238">
                  <c:v>70062.500000000058</c:v>
                </c:pt>
                <c:pt idx="239">
                  <c:v>70357.500000000058</c:v>
                </c:pt>
                <c:pt idx="240">
                  <c:v>70652.500000000058</c:v>
                </c:pt>
                <c:pt idx="241">
                  <c:v>70947.500000000058</c:v>
                </c:pt>
                <c:pt idx="242">
                  <c:v>71242.500000000058</c:v>
                </c:pt>
                <c:pt idx="243">
                  <c:v>71537.500000000058</c:v>
                </c:pt>
                <c:pt idx="244">
                  <c:v>71832.500000000058</c:v>
                </c:pt>
                <c:pt idx="245">
                  <c:v>72127.500000000058</c:v>
                </c:pt>
                <c:pt idx="246">
                  <c:v>72422.500000000058</c:v>
                </c:pt>
                <c:pt idx="247">
                  <c:v>72717.500000000058</c:v>
                </c:pt>
                <c:pt idx="248">
                  <c:v>73012.500000000058</c:v>
                </c:pt>
                <c:pt idx="249">
                  <c:v>73307.500000000058</c:v>
                </c:pt>
                <c:pt idx="250">
                  <c:v>73602.500000000058</c:v>
                </c:pt>
                <c:pt idx="251">
                  <c:v>73897.500000000044</c:v>
                </c:pt>
                <c:pt idx="252">
                  <c:v>74192.500000000044</c:v>
                </c:pt>
                <c:pt idx="253">
                  <c:v>74487.500000000044</c:v>
                </c:pt>
                <c:pt idx="254">
                  <c:v>74782.500000000044</c:v>
                </c:pt>
                <c:pt idx="255">
                  <c:v>75077.500000000044</c:v>
                </c:pt>
                <c:pt idx="256">
                  <c:v>75372.500000000044</c:v>
                </c:pt>
                <c:pt idx="257">
                  <c:v>75667.500000000044</c:v>
                </c:pt>
                <c:pt idx="258">
                  <c:v>75962.500000000058</c:v>
                </c:pt>
                <c:pt idx="259">
                  <c:v>76257.500000000058</c:v>
                </c:pt>
                <c:pt idx="260">
                  <c:v>76552.500000000058</c:v>
                </c:pt>
                <c:pt idx="261">
                  <c:v>76847.500000000058</c:v>
                </c:pt>
                <c:pt idx="262">
                  <c:v>77142.500000000058</c:v>
                </c:pt>
                <c:pt idx="263">
                  <c:v>77437.500000000058</c:v>
                </c:pt>
                <c:pt idx="264">
                  <c:v>77732.500000000058</c:v>
                </c:pt>
                <c:pt idx="265">
                  <c:v>78027.500000000058</c:v>
                </c:pt>
                <c:pt idx="266">
                  <c:v>78322.500000000058</c:v>
                </c:pt>
                <c:pt idx="267">
                  <c:v>78617.500000000058</c:v>
                </c:pt>
                <c:pt idx="268">
                  <c:v>78912.500000000058</c:v>
                </c:pt>
                <c:pt idx="269">
                  <c:v>79207.500000000058</c:v>
                </c:pt>
                <c:pt idx="270">
                  <c:v>79502.500000000058</c:v>
                </c:pt>
                <c:pt idx="271">
                  <c:v>79797.500000000058</c:v>
                </c:pt>
                <c:pt idx="272">
                  <c:v>80092.500000000058</c:v>
                </c:pt>
                <c:pt idx="273">
                  <c:v>80387.500000000058</c:v>
                </c:pt>
                <c:pt idx="274">
                  <c:v>80682.500000000058</c:v>
                </c:pt>
                <c:pt idx="275">
                  <c:v>80977.500000000058</c:v>
                </c:pt>
                <c:pt idx="276">
                  <c:v>81272.500000000058</c:v>
                </c:pt>
                <c:pt idx="277">
                  <c:v>81567.500000000058</c:v>
                </c:pt>
                <c:pt idx="278">
                  <c:v>81862.500000000058</c:v>
                </c:pt>
                <c:pt idx="279">
                  <c:v>82157.500000000058</c:v>
                </c:pt>
                <c:pt idx="280">
                  <c:v>82452.500000000058</c:v>
                </c:pt>
                <c:pt idx="281">
                  <c:v>82747.500000000058</c:v>
                </c:pt>
                <c:pt idx="282">
                  <c:v>83042.500000000058</c:v>
                </c:pt>
                <c:pt idx="283">
                  <c:v>83337.500000000058</c:v>
                </c:pt>
                <c:pt idx="284">
                  <c:v>83632.500000000058</c:v>
                </c:pt>
                <c:pt idx="285">
                  <c:v>83927.500000000058</c:v>
                </c:pt>
                <c:pt idx="286">
                  <c:v>84222.500000000058</c:v>
                </c:pt>
                <c:pt idx="287">
                  <c:v>84517.500000000058</c:v>
                </c:pt>
                <c:pt idx="288">
                  <c:v>84812.500000000058</c:v>
                </c:pt>
                <c:pt idx="289">
                  <c:v>85107.500000000058</c:v>
                </c:pt>
                <c:pt idx="290">
                  <c:v>85402.500000000058</c:v>
                </c:pt>
                <c:pt idx="291">
                  <c:v>85697.500000000058</c:v>
                </c:pt>
                <c:pt idx="292">
                  <c:v>85992.500000000058</c:v>
                </c:pt>
                <c:pt idx="293">
                  <c:v>86287.500000000058</c:v>
                </c:pt>
                <c:pt idx="294">
                  <c:v>86582.500000000058</c:v>
                </c:pt>
                <c:pt idx="295">
                  <c:v>86877.500000000058</c:v>
                </c:pt>
                <c:pt idx="296">
                  <c:v>87172.500000000058</c:v>
                </c:pt>
                <c:pt idx="297">
                  <c:v>87467.500000000058</c:v>
                </c:pt>
                <c:pt idx="298">
                  <c:v>87762.500000000058</c:v>
                </c:pt>
                <c:pt idx="299">
                  <c:v>88057.500000000058</c:v>
                </c:pt>
                <c:pt idx="300">
                  <c:v>88352.500000000058</c:v>
                </c:pt>
                <c:pt idx="301">
                  <c:v>88647.500000000058</c:v>
                </c:pt>
                <c:pt idx="302">
                  <c:v>88942.500000000058</c:v>
                </c:pt>
                <c:pt idx="303">
                  <c:v>89237.500000000058</c:v>
                </c:pt>
                <c:pt idx="304">
                  <c:v>89532.500000000058</c:v>
                </c:pt>
                <c:pt idx="305">
                  <c:v>89827.500000000058</c:v>
                </c:pt>
                <c:pt idx="306">
                  <c:v>90122.500000000058</c:v>
                </c:pt>
                <c:pt idx="307">
                  <c:v>90417.500000000058</c:v>
                </c:pt>
                <c:pt idx="308">
                  <c:v>90712.500000000058</c:v>
                </c:pt>
                <c:pt idx="309">
                  <c:v>91007.500000000058</c:v>
                </c:pt>
                <c:pt idx="310">
                  <c:v>91302.500000000058</c:v>
                </c:pt>
                <c:pt idx="311">
                  <c:v>91597.500000000058</c:v>
                </c:pt>
                <c:pt idx="312">
                  <c:v>91892.500000000058</c:v>
                </c:pt>
                <c:pt idx="313">
                  <c:v>92187.500000000073</c:v>
                </c:pt>
                <c:pt idx="314">
                  <c:v>92482.500000000073</c:v>
                </c:pt>
                <c:pt idx="315">
                  <c:v>92777.500000000073</c:v>
                </c:pt>
                <c:pt idx="316">
                  <c:v>93072.500000000073</c:v>
                </c:pt>
                <c:pt idx="317">
                  <c:v>93367.500000000073</c:v>
                </c:pt>
                <c:pt idx="318">
                  <c:v>93662.500000000073</c:v>
                </c:pt>
                <c:pt idx="319">
                  <c:v>93957.500000000073</c:v>
                </c:pt>
                <c:pt idx="320">
                  <c:v>94252.500000000073</c:v>
                </c:pt>
                <c:pt idx="321">
                  <c:v>94547.500000000073</c:v>
                </c:pt>
                <c:pt idx="322">
                  <c:v>94842.500000000073</c:v>
                </c:pt>
                <c:pt idx="323">
                  <c:v>95137.500000000073</c:v>
                </c:pt>
                <c:pt idx="324">
                  <c:v>95432.500000000073</c:v>
                </c:pt>
                <c:pt idx="325">
                  <c:v>95727.500000000073</c:v>
                </c:pt>
                <c:pt idx="326">
                  <c:v>96022.500000000073</c:v>
                </c:pt>
                <c:pt idx="327">
                  <c:v>96317.500000000073</c:v>
                </c:pt>
                <c:pt idx="328">
                  <c:v>96612.500000000073</c:v>
                </c:pt>
                <c:pt idx="329">
                  <c:v>96907.500000000073</c:v>
                </c:pt>
                <c:pt idx="330">
                  <c:v>97202.500000000073</c:v>
                </c:pt>
                <c:pt idx="331">
                  <c:v>97497.500000000073</c:v>
                </c:pt>
                <c:pt idx="332">
                  <c:v>97792.500000000073</c:v>
                </c:pt>
                <c:pt idx="333">
                  <c:v>98087.500000000073</c:v>
                </c:pt>
                <c:pt idx="334">
                  <c:v>98382.500000000073</c:v>
                </c:pt>
                <c:pt idx="335">
                  <c:v>98677.500000000073</c:v>
                </c:pt>
                <c:pt idx="336">
                  <c:v>98972.500000000073</c:v>
                </c:pt>
                <c:pt idx="337">
                  <c:v>99267.500000000073</c:v>
                </c:pt>
                <c:pt idx="338">
                  <c:v>99562.500000000073</c:v>
                </c:pt>
                <c:pt idx="339">
                  <c:v>99857.500000000073</c:v>
                </c:pt>
                <c:pt idx="340">
                  <c:v>100152.50000000007</c:v>
                </c:pt>
                <c:pt idx="341">
                  <c:v>100447.50000000007</c:v>
                </c:pt>
                <c:pt idx="342">
                  <c:v>100742.50000000007</c:v>
                </c:pt>
                <c:pt idx="343">
                  <c:v>101037.50000000007</c:v>
                </c:pt>
                <c:pt idx="344">
                  <c:v>101332.50000000007</c:v>
                </c:pt>
                <c:pt idx="345">
                  <c:v>101627.50000000007</c:v>
                </c:pt>
                <c:pt idx="346">
                  <c:v>101922.50000000007</c:v>
                </c:pt>
                <c:pt idx="347">
                  <c:v>102217.50000000007</c:v>
                </c:pt>
                <c:pt idx="348">
                  <c:v>102512.50000000007</c:v>
                </c:pt>
                <c:pt idx="349">
                  <c:v>102807.50000000007</c:v>
                </c:pt>
                <c:pt idx="350">
                  <c:v>103102.50000000007</c:v>
                </c:pt>
                <c:pt idx="351">
                  <c:v>103397.50000000007</c:v>
                </c:pt>
                <c:pt idx="352">
                  <c:v>103692.50000000007</c:v>
                </c:pt>
                <c:pt idx="353">
                  <c:v>103987.50000000007</c:v>
                </c:pt>
                <c:pt idx="354">
                  <c:v>104282.50000000007</c:v>
                </c:pt>
                <c:pt idx="355">
                  <c:v>104577.50000000007</c:v>
                </c:pt>
                <c:pt idx="356">
                  <c:v>104872.50000000007</c:v>
                </c:pt>
                <c:pt idx="357">
                  <c:v>105167.50000000007</c:v>
                </c:pt>
                <c:pt idx="358">
                  <c:v>105462.50000000007</c:v>
                </c:pt>
                <c:pt idx="359">
                  <c:v>105757.50000000007</c:v>
                </c:pt>
                <c:pt idx="360">
                  <c:v>106052.50000000007</c:v>
                </c:pt>
                <c:pt idx="361">
                  <c:v>106347.50000000007</c:v>
                </c:pt>
                <c:pt idx="362">
                  <c:v>106642.50000000007</c:v>
                </c:pt>
                <c:pt idx="363">
                  <c:v>106937.50000000007</c:v>
                </c:pt>
                <c:pt idx="364">
                  <c:v>107232.50000000007</c:v>
                </c:pt>
                <c:pt idx="365">
                  <c:v>107527.50000000007</c:v>
                </c:pt>
                <c:pt idx="366">
                  <c:v>107822.50000000007</c:v>
                </c:pt>
                <c:pt idx="367">
                  <c:v>108117.50000000007</c:v>
                </c:pt>
                <c:pt idx="368">
                  <c:v>108412.50000000007</c:v>
                </c:pt>
                <c:pt idx="369">
                  <c:v>108707.50000000009</c:v>
                </c:pt>
                <c:pt idx="370">
                  <c:v>109002.50000000009</c:v>
                </c:pt>
                <c:pt idx="371">
                  <c:v>109297.50000000009</c:v>
                </c:pt>
                <c:pt idx="372">
                  <c:v>109592.50000000009</c:v>
                </c:pt>
                <c:pt idx="373">
                  <c:v>109887.50000000009</c:v>
                </c:pt>
                <c:pt idx="374">
                  <c:v>110182.50000000009</c:v>
                </c:pt>
                <c:pt idx="375">
                  <c:v>110477.50000000009</c:v>
                </c:pt>
                <c:pt idx="376">
                  <c:v>110772.50000000009</c:v>
                </c:pt>
                <c:pt idx="377">
                  <c:v>111067.50000000009</c:v>
                </c:pt>
                <c:pt idx="378">
                  <c:v>111362.50000000009</c:v>
                </c:pt>
                <c:pt idx="379">
                  <c:v>111657.50000000009</c:v>
                </c:pt>
                <c:pt idx="380">
                  <c:v>111952.50000000009</c:v>
                </c:pt>
                <c:pt idx="381">
                  <c:v>112247.50000000009</c:v>
                </c:pt>
                <c:pt idx="382">
                  <c:v>112542.50000000009</c:v>
                </c:pt>
                <c:pt idx="383">
                  <c:v>112837.50000000009</c:v>
                </c:pt>
                <c:pt idx="384">
                  <c:v>113132.50000000009</c:v>
                </c:pt>
                <c:pt idx="385">
                  <c:v>113427.50000000009</c:v>
                </c:pt>
                <c:pt idx="386">
                  <c:v>113722.50000000009</c:v>
                </c:pt>
                <c:pt idx="387">
                  <c:v>114017.50000000009</c:v>
                </c:pt>
                <c:pt idx="388">
                  <c:v>114312.50000000009</c:v>
                </c:pt>
                <c:pt idx="389">
                  <c:v>114607.50000000009</c:v>
                </c:pt>
                <c:pt idx="390">
                  <c:v>114902.50000000009</c:v>
                </c:pt>
                <c:pt idx="391">
                  <c:v>115197.50000000009</c:v>
                </c:pt>
                <c:pt idx="392">
                  <c:v>115492.50000000009</c:v>
                </c:pt>
                <c:pt idx="393">
                  <c:v>115787.50000000009</c:v>
                </c:pt>
                <c:pt idx="394">
                  <c:v>116082.50000000009</c:v>
                </c:pt>
                <c:pt idx="395">
                  <c:v>116377.50000000009</c:v>
                </c:pt>
                <c:pt idx="396">
                  <c:v>116672.50000000009</c:v>
                </c:pt>
                <c:pt idx="397">
                  <c:v>116967.50000000009</c:v>
                </c:pt>
                <c:pt idx="398">
                  <c:v>117262.50000000009</c:v>
                </c:pt>
                <c:pt idx="399">
                  <c:v>117557.50000000009</c:v>
                </c:pt>
                <c:pt idx="400">
                  <c:v>117852.50000000009</c:v>
                </c:pt>
                <c:pt idx="401">
                  <c:v>118147.50000000009</c:v>
                </c:pt>
                <c:pt idx="402">
                  <c:v>118442.50000000009</c:v>
                </c:pt>
                <c:pt idx="403">
                  <c:v>118737.50000000009</c:v>
                </c:pt>
                <c:pt idx="404">
                  <c:v>119032.50000000009</c:v>
                </c:pt>
                <c:pt idx="405">
                  <c:v>119327.50000000009</c:v>
                </c:pt>
                <c:pt idx="406">
                  <c:v>119622.50000000009</c:v>
                </c:pt>
                <c:pt idx="407">
                  <c:v>119917.50000000009</c:v>
                </c:pt>
                <c:pt idx="408">
                  <c:v>120212.50000000009</c:v>
                </c:pt>
                <c:pt idx="409">
                  <c:v>120507.50000000009</c:v>
                </c:pt>
                <c:pt idx="410">
                  <c:v>120802.50000000009</c:v>
                </c:pt>
                <c:pt idx="411">
                  <c:v>121097.50000000009</c:v>
                </c:pt>
                <c:pt idx="412">
                  <c:v>121392.50000000009</c:v>
                </c:pt>
                <c:pt idx="413">
                  <c:v>121687.50000000009</c:v>
                </c:pt>
                <c:pt idx="414">
                  <c:v>121982.50000000009</c:v>
                </c:pt>
                <c:pt idx="415">
                  <c:v>122277.50000000009</c:v>
                </c:pt>
                <c:pt idx="416">
                  <c:v>122572.50000000009</c:v>
                </c:pt>
                <c:pt idx="417">
                  <c:v>122867.50000000009</c:v>
                </c:pt>
                <c:pt idx="418">
                  <c:v>123162.50000000009</c:v>
                </c:pt>
                <c:pt idx="419">
                  <c:v>123457.50000000009</c:v>
                </c:pt>
                <c:pt idx="420">
                  <c:v>123752.50000000009</c:v>
                </c:pt>
                <c:pt idx="421">
                  <c:v>124047.50000000009</c:v>
                </c:pt>
              </c:numCache>
            </c:numRef>
          </c:xVal>
          <c:yVal>
            <c:numRef>
              <c:f>'Credit Portfolio'!$Z$5:$Z$426</c:f>
              <c:numCache>
                <c:formatCode>0.00000</c:formatCode>
                <c:ptCount val="422"/>
                <c:pt idx="0">
                  <c:v>0.89189404203736011</c:v>
                </c:pt>
                <c:pt idx="1">
                  <c:v>0.83213863914073838</c:v>
                </c:pt>
                <c:pt idx="2">
                  <c:v>0.70139428039794127</c:v>
                </c:pt>
                <c:pt idx="3">
                  <c:v>0.58148342827850741</c:v>
                </c:pt>
                <c:pt idx="4">
                  <c:v>0.48015702770962831</c:v>
                </c:pt>
                <c:pt idx="5">
                  <c:v>0.39680774377368316</c:v>
                </c:pt>
                <c:pt idx="6">
                  <c:v>0.32877893269980479</c:v>
                </c:pt>
                <c:pt idx="7">
                  <c:v>0.27342374256366836</c:v>
                </c:pt>
                <c:pt idx="8">
                  <c:v>0.22824693597621135</c:v>
                </c:pt>
                <c:pt idx="9">
                  <c:v>0.19118936975058234</c:v>
                </c:pt>
                <c:pt idx="10">
                  <c:v>0.16075101082872842</c:v>
                </c:pt>
                <c:pt idx="11">
                  <c:v>0.13571902259719976</c:v>
                </c:pt>
                <c:pt idx="12">
                  <c:v>0.11501517746856682</c:v>
                </c:pt>
                <c:pt idx="13">
                  <c:v>9.7746115383725685E-2</c:v>
                </c:pt>
                <c:pt idx="14">
                  <c:v>8.3253888563907086E-2</c:v>
                </c:pt>
                <c:pt idx="15">
                  <c:v>7.1075847401081679E-2</c:v>
                </c:pt>
                <c:pt idx="16">
                  <c:v>6.0859393134936622E-2</c:v>
                </c:pt>
                <c:pt idx="17">
                  <c:v>5.22964253240999E-2</c:v>
                </c:pt>
                <c:pt idx="18">
                  <c:v>4.5100337389049852E-2</c:v>
                </c:pt>
                <c:pt idx="19">
                  <c:v>3.9012657505120674E-2</c:v>
                </c:pt>
                <c:pt idx="20">
                  <c:v>3.3817270830878154E-2</c:v>
                </c:pt>
                <c:pt idx="21">
                  <c:v>2.9347588685299342E-2</c:v>
                </c:pt>
                <c:pt idx="22">
                  <c:v>2.5483016814888182E-2</c:v>
                </c:pt>
                <c:pt idx="23">
                  <c:v>2.2138040633542917E-2</c:v>
                </c:pt>
                <c:pt idx="24">
                  <c:v>1.9249229082162481E-2</c:v>
                </c:pt>
                <c:pt idx="25">
                  <c:v>1.676430769523523E-2</c:v>
                </c:pt>
                <c:pt idx="26">
                  <c:v>1.4635220237516941E-2</c:v>
                </c:pt>
                <c:pt idx="27">
                  <c:v>1.2815173901907955E-2</c:v>
                </c:pt>
                <c:pt idx="28">
                  <c:v>1.1258571654650409E-2</c:v>
                </c:pt>
                <c:pt idx="29">
                  <c:v>9.9224376796325214E-3</c:v>
                </c:pt>
                <c:pt idx="30">
                  <c:v>8.7681738351027844E-3</c:v>
                </c:pt>
                <c:pt idx="31">
                  <c:v>7.76286290390997E-3</c:v>
                </c:pt>
                <c:pt idx="32">
                  <c:v>6.8798392060940312E-3</c:v>
                </c:pt>
                <c:pt idx="33">
                  <c:v>6.0984933916462198E-3</c:v>
                </c:pt>
                <c:pt idx="34">
                  <c:v>5.4035069571779721E-3</c:v>
                </c:pt>
                <c:pt idx="35">
                  <c:v>4.7837679055908041E-3</c:v>
                </c:pt>
                <c:pt idx="36">
                  <c:v>4.2312038227725127E-3</c:v>
                </c:pt>
                <c:pt idx="37">
                  <c:v>3.7397122823205164E-3</c:v>
                </c:pt>
                <c:pt idx="38">
                  <c:v>3.3042970140201027E-3</c:v>
                </c:pt>
                <c:pt idx="39">
                  <c:v>2.9204523192142597E-3</c:v>
                </c:pt>
                <c:pt idx="40">
                  <c:v>2.583788195830931E-3</c:v>
                </c:pt>
                <c:pt idx="41">
                  <c:v>2.289857417549692E-3</c:v>
                </c:pt>
                <c:pt idx="42">
                  <c:v>2.0341315394158967E-3</c:v>
                </c:pt>
                <c:pt idx="43">
                  <c:v>1.8120713352238016E-3</c:v>
                </c:pt>
                <c:pt idx="44">
                  <c:v>1.6192438627615721E-3</c:v>
                </c:pt>
                <c:pt idx="45">
                  <c:v>1.4514491089090799E-3</c:v>
                </c:pt>
                <c:pt idx="46">
                  <c:v>1.3048309064551727E-3</c:v>
                </c:pt>
                <c:pt idx="47">
                  <c:v>1.1759577814409042E-3</c:v>
                </c:pt>
                <c:pt idx="48">
                  <c:v>1.06186926139099E-3</c:v>
                </c:pt>
                <c:pt idx="49">
                  <c:v>9.6008537805795208E-4</c:v>
                </c:pt>
                <c:pt idx="50">
                  <c:v>8.685885882588288E-4</c:v>
                </c:pt>
                <c:pt idx="51">
                  <c:v>7.8578258822142616E-4</c:v>
                </c:pt>
                <c:pt idx="52">
                  <c:v>7.1043650034938719E-4</c:v>
                </c:pt>
                <c:pt idx="53">
                  <c:v>6.416220301262381E-4</c:v>
                </c:pt>
                <c:pt idx="54">
                  <c:v>5.7864971152432436E-4</c:v>
                </c:pt>
                <c:pt idx="55">
                  <c:v>5.2100895044258997E-4</c:v>
                </c:pt>
                <c:pt idx="56">
                  <c:v>4.6831506571427296E-4</c:v>
                </c:pt>
                <c:pt idx="57">
                  <c:v>4.202651271778027E-4</c:v>
                </c:pt>
                <c:pt idx="58">
                  <c:v>3.7660321846627538E-4</c:v>
                </c:pt>
                <c:pt idx="59" formatCode="0.000000">
                  <c:v>3.3709485825199483E-4</c:v>
                </c:pt>
                <c:pt idx="60" formatCode="0.000000">
                  <c:v>3.0150969928760112E-4</c:v>
                </c:pt>
                <c:pt idx="61" formatCode="0.000000">
                  <c:v>2.6961126078823097E-4</c:v>
                </c:pt>
                <c:pt idx="62" formatCode="0.000000">
                  <c:v>2.4115229143466377E-4</c:v>
                </c:pt>
                <c:pt idx="63">
                  <c:v>2.1587435722245321E-4</c:v>
                </c:pt>
                <c:pt idx="64">
                  <c:v>1.9351035235291132E-4</c:v>
                </c:pt>
                <c:pt idx="65">
                  <c:v>1.7378880063014909E-4</c:v>
                </c:pt>
                <c:pt idx="66">
                  <c:v>1.5643901600605415E-4</c:v>
                </c:pt>
                <c:pt idx="67">
                  <c:v>1.4119639913879467E-4</c:v>
                </c:pt>
                <c:pt idx="68">
                  <c:v>1.2780734492223969E-4</c:v>
                </c:pt>
                <c:pt idx="69">
                  <c:v>1.160334130856611E-4</c:v>
                </c:pt>
                <c:pt idx="70">
                  <c:v>1.0565456425708202E-4</c:v>
                </c:pt>
                <c:pt idx="71">
                  <c:v>9.6471385008095234E-5</c:v>
                </c:pt>
                <c:pt idx="72">
                  <c:v>8.8306317445024888E-5</c:v>
                </c:pt>
                <c:pt idx="73">
                  <c:v>8.100397339118452E-5</c:v>
                </c:pt>
                <c:pt idx="74" formatCode="0.0000000">
                  <c:v>7.44307034079891E-5</c:v>
                </c:pt>
                <c:pt idx="75" formatCode="0.00000000">
                  <c:v>6.847348663423762E-5</c:v>
                </c:pt>
                <c:pt idx="76" formatCode="0.00000000">
                  <c:v>6.3038335257107993E-5</c:v>
                </c:pt>
                <c:pt idx="77" formatCode="0.00000000">
                  <c:v>5.8048431694026016E-5</c:v>
                </c:pt>
                <c:pt idx="78" formatCode="0.00000000">
                  <c:v>5.3442044136258336E-5</c:v>
                </c:pt>
                <c:pt idx="79" formatCode="0.00000000">
                  <c:v>4.9170380158175818E-5</c:v>
                </c:pt>
                <c:pt idx="80" formatCode="0.00000000">
                  <c:v>4.5195477429115776E-5</c:v>
                </c:pt>
                <c:pt idx="81" formatCode="0.00000000">
                  <c:v>4.1488206056487994E-5</c:v>
                </c:pt>
                <c:pt idx="82" formatCode="0.00000000">
                  <c:v>3.8026436678730425E-5</c:v>
                </c:pt>
                <c:pt idx="83" formatCode="0.00000000">
                  <c:v>3.4793409419694603E-5</c:v>
                </c:pt>
                <c:pt idx="84" formatCode="0.00000000">
                  <c:v>3.1776322209241508E-5</c:v>
                </c:pt>
                <c:pt idx="85">
                  <c:v>2.8965143243279944E-5</c:v>
                </c:pt>
                <c:pt idx="86">
                  <c:v>2.6351641610605593E-5</c:v>
                </c:pt>
                <c:pt idx="87">
                  <c:v>2.3928622217599227E-5</c:v>
                </c:pt>
                <c:pt idx="88">
                  <c:v>2.1689345804153387E-5</c:v>
                </c:pt>
                <c:pt idx="89">
                  <c:v>1.9627111690450414E-5</c:v>
                </c:pt>
                <c:pt idx="90">
                  <c:v>1.7734979519655362E-5</c:v>
                </c:pt>
                <c:pt idx="91">
                  <c:v>1.6005606269649365E-5</c:v>
                </c:pt>
                <c:pt idx="92">
                  <c:v>1.4431175834292801E-5</c:v>
                </c:pt>
                <c:pt idx="93">
                  <c:v>1.3003400205510293E-5</c:v>
                </c:pt>
                <c:pt idx="94">
                  <c:v>1.1713573459100921E-5</c:v>
                </c:pt>
                <c:pt idx="95">
                  <c:v>1.0552662149928126E-5</c:v>
                </c:pt>
                <c:pt idx="96">
                  <c:v>9.5114181951283621E-6</c:v>
                </c:pt>
                <c:pt idx="97">
                  <c:v>8.5805027486947911E-6</c:v>
                </c:pt>
                <c:pt idx="98">
                  <c:v>7.7506118639827542E-6</c:v>
                </c:pt>
                <c:pt idx="99">
                  <c:v>7.0125968473037914E-6</c:v>
                </c:pt>
                <c:pt idx="100">
                  <c:v>6.3575740926765739E-6</c:v>
                </c:pt>
                <c:pt idx="101">
                  <c:v>5.7770208384064533E-6</c:v>
                </c:pt>
                <c:pt idx="102">
                  <c:v>5.2628546961693338E-6</c:v>
                </c:pt>
                <c:pt idx="103">
                  <c:v>4.8074959773359344E-6</c:v>
                </c:pt>
                <c:pt idx="104">
                  <c:v>4.4039127904767918E-6</c:v>
                </c:pt>
                <c:pt idx="105">
                  <c:v>4.0456496239432127E-6</c:v>
                </c:pt>
                <c:pt idx="106">
                  <c:v>3.7268406767652424E-6</c:v>
                </c:pt>
                <c:pt idx="107">
                  <c:v>3.4422095802969112E-6</c:v>
                </c:pt>
                <c:pt idx="108">
                  <c:v>3.1870573832414536E-6</c:v>
                </c:pt>
                <c:pt idx="109">
                  <c:v>2.9572407746980103E-6</c:v>
                </c:pt>
                <c:pt idx="110">
                  <c:v>2.7491425128842669E-6</c:v>
                </c:pt>
                <c:pt idx="111">
                  <c:v>2.5596362197433114E-6</c:v>
                </c:pt>
                <c:pt idx="112">
                  <c:v>2.386047884965874E-6</c:v>
                </c:pt>
                <c:pt idx="113">
                  <c:v>2.2261128609988198E-6</c:v>
                </c:pt>
                <c:pt idx="114">
                  <c:v>2.0779335514765779E-6</c:v>
                </c:pt>
                <c:pt idx="115">
                  <c:v>1.939937299373847E-6</c:v>
                </c:pt>
                <c:pt idx="116">
                  <c:v>1.8108349747995442E-6</c:v>
                </c:pt>
                <c:pt idx="117">
                  <c:v>1.6895815950361604E-6</c:v>
                </c:pt>
                <c:pt idx="118">
                  <c:v>1.5753395154439787E-6</c:v>
                </c:pt>
                <c:pt idx="119">
                  <c:v>1.4674445708876052E-6</c:v>
                </c:pt>
                <c:pt idx="120">
                  <c:v>1.3653754020167043E-6</c:v>
                </c:pt>
                <c:pt idx="121">
                  <c:v>1.26872607385016E-6</c:v>
                </c:pt>
                <c:pt idx="122">
                  <c:v>1.177181987713117E-6</c:v>
                </c:pt>
                <c:pt idx="123">
                  <c:v>1.0904990018502157E-6</c:v>
                </c:pt>
                <c:pt idx="124">
                  <c:v>1.0084856099668169E-6</c:v>
                </c:pt>
                <c:pt idx="125">
                  <c:v>9.3098797876391718E-7</c:v>
                </c:pt>
                <c:pt idx="126">
                  <c:v>8.5787761304746664E-7</c:v>
                </c:pt>
                <c:pt idx="127">
                  <c:v>7.8904139785421093E-7</c:v>
                </c:pt>
                <c:pt idx="128">
                  <c:v>7.2437375889465917E-7</c:v>
                </c:pt>
                <c:pt idx="129">
                  <c:v>6.6377068324581749E-7</c:v>
                </c:pt>
                <c:pt idx="130">
                  <c:v>6.0712534961203808E-7</c:v>
                </c:pt>
                <c:pt idx="131">
                  <c:v>5.5432512983822849E-7</c:v>
                </c:pt>
                <c:pt idx="132">
                  <c:v>5.0524973919539796E-7</c:v>
                </c:pt>
                <c:pt idx="133">
                  <c:v>4.5977033101402478E-7</c:v>
                </c:pt>
                <c:pt idx="134">
                  <c:v>4.1774935050959775E-7</c:v>
                </c:pt>
                <c:pt idx="135">
                  <c:v>3.7904098233936952E-7</c:v>
                </c:pt>
                <c:pt idx="136">
                  <c:v>3.4349204595159077E-7</c:v>
                </c:pt>
                <c:pt idx="137">
                  <c:v>3.1094321169865337E-7</c:v>
                </c:pt>
                <c:pt idx="138">
                  <c:v>2.81230428673149E-7</c:v>
                </c:pt>
                <c:pt idx="139">
                  <c:v>2.5418647208241645E-7</c:v>
                </c:pt>
                <c:pt idx="140">
                  <c:v>2.2964253357293085E-7</c:v>
                </c:pt>
                <c:pt idx="141">
                  <c:v>2.0742979218031726E-7</c:v>
                </c:pt>
                <c:pt idx="142">
                  <c:v>1.8738091648678485E-7</c:v>
                </c:pt>
                <c:pt idx="143">
                  <c:v>1.6933146011981622E-7</c:v>
                </c:pt>
                <c:pt idx="144">
                  <c:v>1.5312112295103774E-7</c:v>
                </c:pt>
                <c:pt idx="145">
                  <c:v>1.3859485929555978E-7</c:v>
                </c:pt>
                <c:pt idx="146">
                  <c:v>1.2560382212472741E-7</c:v>
                </c:pt>
                <c:pt idx="147">
                  <c:v>1.1400613885306743E-7</c:v>
                </c:pt>
                <c:pt idx="148">
                  <c:v>1.036675197140031E-7</c:v>
                </c:pt>
                <c:pt idx="149">
                  <c:v>9.4461704174903013E-8</c:v>
                </c:pt>
                <c:pt idx="150">
                  <c:v>8.6270754340877716E-8</c:v>
                </c:pt>
                <c:pt idx="151">
                  <c:v>7.8985206942471956E-8</c:v>
                </c:pt>
                <c:pt idx="152">
                  <c:v>7.2504097381410843E-8</c:v>
                </c:pt>
                <c:pt idx="153">
                  <c:v>6.6734870508423639E-8</c:v>
                </c:pt>
                <c:pt idx="154">
                  <c:v>6.1593193415409865E-8</c:v>
                </c:pt>
                <c:pt idx="155">
                  <c:v>5.7002685626924157E-8</c:v>
                </c:pt>
                <c:pt idx="156">
                  <c:v>5.289458175635054E-8</c:v>
                </c:pt>
                <c:pt idx="157">
                  <c:v>4.92073410290516E-8</c:v>
                </c:pt>
                <c:pt idx="158">
                  <c:v>4.5886217141150184E-8</c:v>
                </c:pt>
                <c:pt idx="159">
                  <c:v>4.288280078381331E-8</c:v>
                </c:pt>
                <c:pt idx="160">
                  <c:v>4.015454587505888E-8</c:v>
                </c:pt>
                <c:pt idx="161">
                  <c:v>3.7664289148863263E-8</c:v>
                </c:pt>
                <c:pt idx="162">
                  <c:v>3.5379774246649599E-8</c:v>
                </c:pt>
                <c:pt idx="163">
                  <c:v>3.327319015622461E-8</c:v>
                </c:pt>
                <c:pt idx="164">
                  <c:v>3.1320708456562074E-8</c:v>
                </c:pt>
                <c:pt idx="165">
                  <c:v>2.9502050342612742E-8</c:v>
                </c:pt>
                <c:pt idx="166">
                  <c:v>2.7800083134535991E-8</c:v>
                </c:pt>
                <c:pt idx="167">
                  <c:v>2.620043615046371E-8</c:v>
                </c:pt>
                <c:pt idx="168">
                  <c:v>2.4691144819584218E-8</c:v>
                </c:pt>
                <c:pt idx="169">
                  <c:v>2.3262323698893165E-8</c:v>
                </c:pt>
                <c:pt idx="170">
                  <c:v>2.190586848720757E-8</c:v>
                </c:pt>
                <c:pt idx="171">
                  <c:v>2.0615186635692754E-8</c:v>
                </c:pt>
                <c:pt idx="172">
                  <c:v>1.9384955742029595E-8</c:v>
                </c:pt>
                <c:pt idx="173">
                  <c:v>1.8210908585526788E-8</c:v>
                </c:pt>
                <c:pt idx="174">
                  <c:v>1.7089643408731753E-8</c:v>
                </c:pt>
                <c:pt idx="175">
                  <c:v>1.6018457870572276E-8</c:v>
                </c:pt>
                <c:pt idx="176">
                  <c:v>1.4995204978514396E-8</c:v>
                </c:pt>
                <c:pt idx="177">
                  <c:v>1.4018169243810218E-8</c:v>
                </c:pt>
                <c:pt idx="178">
                  <c:v>1.3085961285799439E-8</c:v>
                </c:pt>
                <c:pt idx="179">
                  <c:v>1.2197429129985355E-8</c:v>
                </c:pt>
                <c:pt idx="180">
                  <c:v>1.1351584492453442E-8</c:v>
                </c:pt>
                <c:pt idx="181">
                  <c:v>1.0547542413172081E-8</c:v>
                </c:pt>
                <c:pt idx="182">
                  <c:v>9.7844726867267822E-9</c:v>
                </c:pt>
                <c:pt idx="183">
                  <c:v>9.061561635906464E-9</c:v>
                </c:pt>
                <c:pt idx="184">
                  <c:v>8.3779828769668896E-9</c:v>
                </c:pt>
                <c:pt idx="185">
                  <c:v>7.7328758318372229E-9</c:v>
                </c:pt>
                <c:pt idx="186">
                  <c:v>7.1253308492414155E-9</c:v>
                </c:pt>
                <c:pt idx="187">
                  <c:v>6.5543799015515946E-9</c:v>
                </c:pt>
                <c:pt idx="188">
                  <c:v>6.0189919256068068E-9</c:v>
                </c:pt>
                <c:pt idx="189">
                  <c:v>5.5180719726111631E-9</c:v>
                </c:pt>
                <c:pt idx="190">
                  <c:v>5.0504634238419221E-9</c:v>
                </c:pt>
                <c:pt idx="191">
                  <c:v>4.6149526148223653E-9</c:v>
                </c:pt>
                <c:pt idx="192">
                  <c:v>4.2102752906467406E-9</c:v>
                </c:pt>
                <c:pt idx="193">
                  <c:v>3.8351243892583269E-9</c:v>
                </c:pt>
                <c:pt idx="194">
                  <c:v>3.4881587177691321E-9</c:v>
                </c:pt>
                <c:pt idx="195">
                  <c:v>3.1680121495463931E-9</c:v>
                </c:pt>
                <c:pt idx="196">
                  <c:v>2.8733030270017718E-9</c:v>
                </c:pt>
                <c:pt idx="197">
                  <c:v>2.6026435070559998E-9</c:v>
                </c:pt>
                <c:pt idx="198">
                  <c:v>2.3546486333780731E-9</c:v>
                </c:pt>
                <c:pt idx="199">
                  <c:v>2.1279449619762889E-9</c:v>
                </c:pt>
                <c:pt idx="200">
                  <c:v>1.921178604804785E-9</c:v>
                </c:pt>
                <c:pt idx="201">
                  <c:v>1.7330225899901851E-9</c:v>
                </c:pt>
                <c:pt idx="202">
                  <c:v>1.5621834673144196E-9</c:v>
                </c:pt>
                <c:pt idx="203">
                  <c:v>1.4074071139388047E-9</c:v>
                </c:pt>
                <c:pt idx="204">
                  <c:v>1.2674837182400282E-9</c:v>
                </c:pt>
                <c:pt idx="205">
                  <c:v>1.1412519392651215E-9</c:v>
                </c:pt>
                <c:pt idx="206">
                  <c:v>1.0276022559105733E-9</c:v>
                </c:pt>
                <c:pt idx="207">
                  <c:v>9.2547953370053016E-10</c:v>
                </c:pt>
                <c:pt idx="208">
                  <c:v>8.338848481903529E-10</c:v>
                </c:pt>
                <c:pt idx="209">
                  <c:v>7.5187661276542029E-10</c:v>
                </c:pt>
                <c:pt idx="210">
                  <c:v>6.7857106515294658E-10</c:v>
                </c:pt>
                <c:pt idx="211">
                  <c:v>6.1314217152855281E-10</c:v>
                </c:pt>
                <c:pt idx="212">
                  <c:v>5.5482100989113931E-10</c:v>
                </c:pt>
                <c:pt idx="213">
                  <c:v>5.0289469560850429E-10</c:v>
                </c:pt>
                <c:pt idx="214">
                  <c:v>4.5670491190786984E-10</c:v>
                </c:pt>
                <c:pt idx="215">
                  <c:v>4.1564610679986666E-10</c:v>
                </c:pt>
                <c:pt idx="216">
                  <c:v>3.7916341567390717E-10</c:v>
                </c:pt>
                <c:pt idx="217">
                  <c:v>3.4675036576994048E-10</c:v>
                </c:pt>
                <c:pt idx="218">
                  <c:v>3.1794641508781688E-10</c:v>
                </c:pt>
                <c:pt idx="219">
                  <c:v>2.9233437419950047E-10</c:v>
                </c:pt>
                <c:pt idx="220">
                  <c:v>2.6953775502564969E-10</c:v>
                </c:pt>
                <c:pt idx="221">
                  <c:v>2.4921808605608723E-10</c:v>
                </c:pt>
                <c:pt idx="222">
                  <c:v>2.3107222884689644E-10</c:v>
                </c:pt>
                <c:pt idx="223">
                  <c:v>2.1482972601254792E-10</c:v>
                </c:pt>
                <c:pt idx="224">
                  <c:v>2.0025020643014339E-10</c:v>
                </c:pt>
                <c:pt idx="225">
                  <c:v>1.8712086904825242E-10</c:v>
                </c:pt>
                <c:pt idx="226">
                  <c:v>1.7525406259152246E-10</c:v>
                </c:pt>
                <c:pt idx="227">
                  <c:v>1.6448497460326414E-10</c:v>
                </c:pt>
                <c:pt idx="228">
                  <c:v>1.5466943968201128E-10</c:v>
                </c:pt>
                <c:pt idx="229">
                  <c:v>1.4568188838275913E-10</c:v>
                </c:pt>
                <c:pt idx="230">
                  <c:v>1.3741342794775182E-10</c:v>
                </c:pt>
                <c:pt idx="231">
                  <c:v>1.2977001422945342E-10</c:v>
                </c:pt>
                <c:pt idx="232">
                  <c:v>1.2267079404178206E-10</c:v>
                </c:pt>
                <c:pt idx="233">
                  <c:v>1.1604658910066716E-10</c:v>
                </c:pt>
                <c:pt idx="234">
                  <c:v>1.0983849159347051E-10</c:v>
                </c:pt>
                <c:pt idx="235">
                  <c:v>1.0399658507070401E-10</c:v>
                </c:pt>
                <c:pt idx="236">
                  <c:v>9.8478784864016026E-11</c:v>
                </c:pt>
                <c:pt idx="237">
                  <c:v>9.3249791712562076E-11</c:v>
                </c:pt>
                <c:pt idx="238">
                  <c:v>8.8280151906424587E-11</c:v>
                </c:pt>
                <c:pt idx="239">
                  <c:v>8.3545417024019227E-11</c:v>
                </c:pt>
                <c:pt idx="240">
                  <c:v>7.9025396238006399E-11</c:v>
                </c:pt>
                <c:pt idx="241">
                  <c:v>7.4703494175568463E-11</c:v>
                </c:pt>
                <c:pt idx="242">
                  <c:v>7.056612742710843E-11</c:v>
                </c:pt>
                <c:pt idx="243">
                  <c:v>6.6602212985449259E-11</c:v>
                </c:pt>
                <c:pt idx="244">
                  <c:v>6.2802722149106724E-11</c:v>
                </c:pt>
                <c:pt idx="245">
                  <c:v>5.9160293723019768E-11</c:v>
                </c:pt>
                <c:pt idx="246">
                  <c:v>5.5668900684605744E-11</c:v>
                </c:pt>
                <c:pt idx="247">
                  <c:v>5.2323564840169813E-11</c:v>
                </c:pt>
                <c:pt idx="248">
                  <c:v>4.9120114366261347E-11</c:v>
                </c:pt>
                <c:pt idx="249">
                  <c:v>4.6054979503914277E-11</c:v>
                </c:pt>
                <c:pt idx="250">
                  <c:v>4.3125022043803181E-11</c:v>
                </c:pt>
                <c:pt idx="251">
                  <c:v>4.0327394601610734E-11</c:v>
                </c:pt>
                <c:pt idx="252">
                  <c:v>3.7659426031068135E-11</c:v>
                </c:pt>
                <c:pt idx="253">
                  <c:v>3.5118529654076585E-11</c:v>
                </c:pt>
                <c:pt idx="254">
                  <c:v>3.2702131300921899E-11</c:v>
                </c:pt>
                <c:pt idx="255">
                  <c:v>3.0407614447563494E-11</c:v>
                </c:pt>
                <c:pt idx="256">
                  <c:v>2.8232280010710542E-11</c:v>
                </c:pt>
                <c:pt idx="257">
                  <c:v>2.6173318614842358E-11</c:v>
                </c:pt>
                <c:pt idx="258">
                  <c:v>2.4227793378860956E-11</c:v>
                </c:pt>
                <c:pt idx="259">
                  <c:v>2.239263148438094E-11</c:v>
                </c:pt>
                <c:pt idx="260">
                  <c:v>2.0664622983684085E-11</c:v>
                </c:pt>
                <c:pt idx="261">
                  <c:v>1.9040425484164467E-11</c:v>
                </c:pt>
                <c:pt idx="262">
                  <c:v>1.7516573508812053E-11</c:v>
                </c:pt>
                <c:pt idx="263">
                  <c:v>1.6089491480108949E-11</c:v>
                </c:pt>
                <c:pt idx="264">
                  <c:v>1.475550940880826E-11</c:v>
                </c:pt>
                <c:pt idx="265">
                  <c:v>1.3510880490558455E-11</c:v>
                </c:pt>
                <c:pt idx="266">
                  <c:v>1.2351799923285889E-11</c:v>
                </c:pt>
                <c:pt idx="267">
                  <c:v>1.1274424357645892E-11</c:v>
                </c:pt>
                <c:pt idx="268">
                  <c:v>1.027489148259885E-11</c:v>
                </c:pt>
                <c:pt idx="269">
                  <c:v>9.3493393290835801E-12</c:v>
                </c:pt>
                <c:pt idx="270">
                  <c:v>8.4939249475819138E-12</c:v>
                </c:pt>
                <c:pt idx="271">
                  <c:v>7.7048421807536819E-12</c:v>
                </c:pt>
                <c:pt idx="272">
                  <c:v>6.9783383108581908E-12</c:v>
                </c:pt>
                <c:pt idx="273">
                  <c:v>6.3107294138897145E-12</c:v>
                </c:pt>
                <c:pt idx="274">
                  <c:v>5.6984142987105525E-12</c:v>
                </c:pt>
                <c:pt idx="275">
                  <c:v>5.1378869503877259E-12</c:v>
                </c:pt>
                <c:pt idx="276">
                  <c:v>4.6257474328135395E-12</c:v>
                </c:pt>
                <c:pt idx="277">
                  <c:v>4.1587112368697438E-12</c:v>
                </c:pt>
                <c:pt idx="278">
                  <c:v>3.7336170872100594E-12</c:v>
                </c:pt>
                <c:pt idx="279">
                  <c:v>3.347433243496928E-12</c:v>
                </c:pt>
                <c:pt idx="280">
                  <c:v>2.9972623509341929E-12</c:v>
                </c:pt>
                <c:pt idx="281">
                  <c:v>2.6803449104737115E-12</c:v>
                </c:pt>
                <c:pt idx="282">
                  <c:v>2.3940614514207744E-12</c:v>
                </c:pt>
                <c:pt idx="283">
                  <c:v>2.1359334985928561E-12</c:v>
                </c:pt>
                <c:pt idx="284">
                  <c:v>1.9036234329665622E-12</c:v>
                </c:pt>
                <c:pt idx="285">
                  <c:v>1.6949333491406517E-12</c:v>
                </c:pt>
                <c:pt idx="286">
                  <c:v>1.507803015205459E-12</c:v>
                </c:pt>
                <c:pt idx="287">
                  <c:v>1.3403070409909103E-12</c:v>
                </c:pt>
                <c:pt idx="288">
                  <c:v>1.1906513594095157E-12</c:v>
                </c:pt>
                <c:pt idx="289">
                  <c:v>1.0571691229507424E-12</c:v>
                </c:pt>
                <c:pt idx="290">
                  <c:v>9.3831611354305311E-13</c:v>
                </c:pt>
                <c:pt idx="291">
                  <c:v>8.326657591913347E-13</c:v>
                </c:pt>
                <c:pt idx="292">
                  <c:v>7.3890384522023852E-13</c:v>
                </c:pt>
                <c:pt idx="293">
                  <c:v>6.5582300179313596E-13</c:v>
                </c:pt>
                <c:pt idx="294">
                  <c:v>5.823170428030035E-13</c:v>
                </c:pt>
                <c:pt idx="295">
                  <c:v>5.1737522440035457E-13</c:v>
                </c:pt>
                <c:pt idx="296">
                  <c:v>4.6007648447384908E-13</c:v>
                </c:pt>
                <c:pt idx="297">
                  <c:v>4.0958371745420722E-13</c:v>
                </c:pt>
                <c:pt idx="298">
                  <c:v>3.6513813197861524E-13</c:v>
                </c:pt>
                <c:pt idx="299">
                  <c:v>3.2605373232199017E-13</c:v>
                </c:pt>
                <c:pt idx="300">
                  <c:v>2.9171195814901821E-13</c:v>
                </c:pt>
                <c:pt idx="301">
                  <c:v>2.6155651112795198E-13</c:v>
                </c:pt>
                <c:pt idx="302">
                  <c:v>2.3508839132109343E-13</c:v>
                </c:pt>
                <c:pt idx="303">
                  <c:v>2.1186116106219178E-13</c:v>
                </c:pt>
                <c:pt idx="304">
                  <c:v>1.9147644927042044E-13</c:v>
                </c:pt>
                <c:pt idx="305">
                  <c:v>1.7357970484636438E-13</c:v>
                </c:pt>
                <c:pt idx="306">
                  <c:v>1.5785620395020616E-13</c:v>
                </c:pt>
                <c:pt idx="307">
                  <c:v>1.4402731257055979E-13</c:v>
                </c:pt>
                <c:pt idx="308">
                  <c:v>1.3184700284136581E-13</c:v>
                </c:pt>
                <c:pt idx="309">
                  <c:v>1.2109861903515955E-13</c:v>
                </c:pt>
                <c:pt idx="310">
                  <c:v>1.1159188702981915E-13</c:v>
                </c:pt>
                <c:pt idx="311">
                  <c:v>1.0316015928421943E-13</c:v>
                </c:pt>
                <c:pt idx="312">
                  <c:v>9.565788593387313E-14</c:v>
                </c:pt>
                <c:pt idx="313">
                  <c:v>8.8958301494958611E-14</c:v>
                </c:pt>
                <c:pt idx="314">
                  <c:v>8.2951319736803708E-14</c:v>
                </c:pt>
                <c:pt idx="315">
                  <c:v>7.7541622435711545E-14</c:v>
                </c:pt>
                <c:pt idx="316">
                  <c:v>7.264692784590782E-14</c:v>
                </c:pt>
                <c:pt idx="317">
                  <c:v>6.8196407159362095E-14</c:v>
                </c:pt>
                <c:pt idx="318">
                  <c:v>6.4129293243094577E-14</c:v>
                </c:pt>
                <c:pt idx="319">
                  <c:v>6.039361728274896E-14</c:v>
                </c:pt>
                <c:pt idx="320">
                  <c:v>5.6945079655556358E-14</c:v>
                </c:pt>
                <c:pt idx="321">
                  <c:v>5.3746043740820378E-14</c:v>
                </c:pt>
                <c:pt idx="322">
                  <c:v>5.0764641930306342E-14</c:v>
                </c:pt>
                <c:pt idx="323">
                  <c:v>4.7973983684911283E-14</c:v>
                </c:pt>
                <c:pt idx="324">
                  <c:v>4.5351456088889762E-14</c:v>
                </c:pt>
                <c:pt idx="325">
                  <c:v>4.287810796953191E-14</c:v>
                </c:pt>
                <c:pt idx="326">
                  <c:v>4.0538109269697839E-14</c:v>
                </c:pt>
                <c:pt idx="327">
                  <c:v>3.8318277974944404E-14</c:v>
                </c:pt>
                <c:pt idx="328">
                  <c:v>3.6207667499074538E-14</c:v>
                </c:pt>
                <c:pt idx="329">
                  <c:v>3.4197208015845723E-14</c:v>
                </c:pt>
                <c:pt idx="330">
                  <c:v>3.2279395785474437E-14</c:v>
                </c:pt>
                <c:pt idx="331">
                  <c:v>3.0448025058734129E-14</c:v>
                </c:pt>
                <c:pt idx="332">
                  <c:v>2.8697957646151243E-14</c:v>
                </c:pt>
                <c:pt idx="333">
                  <c:v>2.7024925713255786E-14</c:v>
                </c:pt>
                <c:pt idx="334">
                  <c:v>2.5425363804046204E-14</c:v>
                </c:pt>
                <c:pt idx="335">
                  <c:v>2.3896266503483188E-14</c:v>
                </c:pt>
                <c:pt idx="336">
                  <c:v>2.2435068526215755E-14</c:v>
                </c:pt>
                <c:pt idx="337">
                  <c:v>2.1039544363622564E-14</c:v>
                </c:pt>
                <c:pt idx="338">
                  <c:v>1.970772493575741E-14</c:v>
                </c:pt>
                <c:pt idx="339">
                  <c:v>1.8437828980340502E-14</c:v>
                </c:pt>
                <c:pt idx="340">
                  <c:v>1.7228207169165431E-14</c:v>
                </c:pt>
                <c:pt idx="341">
                  <c:v>1.6077297174960286E-14</c:v>
                </c:pt>
                <c:pt idx="342">
                  <c:v>1.4983588120692412E-14</c:v>
                </c:pt>
                <c:pt idx="343">
                  <c:v>1.3945593030407576E-14</c:v>
                </c:pt>
                <c:pt idx="344">
                  <c:v>1.2961828067800346E-14</c:v>
                </c:pt>
                <c:pt idx="345">
                  <c:v>1.2030797497626767E-14</c:v>
                </c:pt>
                <c:pt idx="346">
                  <c:v>1.1150983437526246E-14</c:v>
                </c:pt>
                <c:pt idx="347">
                  <c:v>1.0320839585454005E-14</c:v>
                </c:pt>
                <c:pt idx="348">
                  <c:v>9.5387882122717301E-15</c:v>
                </c:pt>
                <c:pt idx="349">
                  <c:v>8.8032198015204713E-15</c:v>
                </c:pt>
                <c:pt idx="350">
                  <c:v>8.1124948003060829E-15</c:v>
                </c:pt>
                <c:pt idx="351">
                  <c:v>7.4649470177455094E-15</c:v>
                </c:pt>
                <c:pt idx="352">
                  <c:v>6.8588882716163681E-15</c:v>
                </c:pt>
                <c:pt idx="353">
                  <c:v>6.2926139406759903E-15</c:v>
                </c:pt>
                <c:pt idx="354">
                  <c:v>5.7644091304163792E-15</c:v>
                </c:pt>
                <c:pt idx="355">
                  <c:v>5.2725552045470021E-15</c:v>
                </c:pt>
                <c:pt idx="356">
                  <c:v>4.8153364739062441E-15</c:v>
                </c:pt>
                <c:pt idx="357">
                  <c:v>4.391046869370788E-15</c:v>
                </c:pt>
                <c:pt idx="358">
                  <c:v>3.9979964561623232E-15</c:v>
                </c:pt>
                <c:pt idx="359">
                  <c:v>3.6345176741806466E-15</c:v>
                </c:pt>
                <c:pt idx="360">
                  <c:v>3.2989712130009754E-15</c:v>
                </c:pt>
                <c:pt idx="361">
                  <c:v>2.989751451292339E-15</c:v>
                </c:pt>
                <c:pt idx="362">
                  <c:v>2.7052914089311384E-15</c:v>
                </c:pt>
                <c:pt idx="363">
                  <c:v>2.4440671762512616E-15</c:v>
                </c:pt>
                <c:pt idx="364">
                  <c:v>2.2046017989117266E-15</c:v>
                </c:pt>
                <c:pt idx="365">
                  <c:v>1.9854686089705457E-15</c:v>
                </c:pt>
                <c:pt idx="366">
                  <c:v>1.7852940031051529E-15</c:v>
                </c:pt>
                <c:pt idx="367">
                  <c:v>1.6027596776733065E-15</c:v>
                </c:pt>
                <c:pt idx="368">
                  <c:v>1.4366043376083728E-15</c:v>
                </c:pt>
                <c:pt idx="369">
                  <c:v>1.2856249021213721E-15</c:v>
                </c:pt>
                <c:pt idx="370">
                  <c:v>1.1486772349628167E-15</c:v>
                </c:pt>
                <c:pt idx="371">
                  <c:v>1.0246764306950026E-15</c:v>
                </c:pt>
                <c:pt idx="372">
                  <c:v>9.1259669114860937E-16</c:v>
                </c:pt>
                <c:pt idx="373">
                  <c:v>8.1147082808920741E-16</c:v>
                </c:pt>
                <c:pt idx="374">
                  <c:v>7.2038942919639446E-16</c:v>
                </c:pt>
                <c:pt idx="375">
                  <c:v>6.3849972485396752E-16</c:v>
                </c:pt>
                <c:pt idx="376">
                  <c:v>5.6500419305108762E-16</c:v>
                </c:pt>
                <c:pt idx="377">
                  <c:v>4.9915893898525992E-16</c:v>
                </c:pt>
                <c:pt idx="378">
                  <c:v>4.4027188481649972E-16</c:v>
                </c:pt>
                <c:pt idx="379">
                  <c:v>3.8770080352188847E-16</c:v>
                </c:pt>
                <c:pt idx="380">
                  <c:v>3.4085122900974382E-16</c:v>
                </c:pt>
                <c:pt idx="381">
                  <c:v>2.9917427263632252E-16</c:v>
                </c:pt>
                <c:pt idx="382">
                  <c:v>2.6216437408406914E-16</c:v>
                </c:pt>
                <c:pt idx="383">
                  <c:v>2.2935701226210533E-16</c:v>
                </c:pt>
                <c:pt idx="384">
                  <c:v>2.0032639952498149E-16</c:v>
                </c:pt>
                <c:pt idx="385">
                  <c:v>1.7468318011747692E-16</c:v>
                </c:pt>
                <c:pt idx="386">
                  <c:v>1.5207215137894866E-16</c:v>
                </c:pt>
                <c:pt idx="387">
                  <c:v>1.3217002391293341E-16</c:v>
                </c:pt>
                <c:pt idx="388">
                  <c:v>1.1468323467391338E-16</c:v>
                </c:pt>
                <c:pt idx="389">
                  <c:v>9.9345824766229146E-17</c:v>
                </c:pt>
                <c:pt idx="390">
                  <c:v>8.5917391708487524E-17</c:v>
                </c:pt>
                <c:pt idx="391">
                  <c:v>7.4181124004640688E-17</c:v>
                </c:pt>
                <c:pt idx="392">
                  <c:v>6.3941924090646183E-17</c:v>
                </c:pt>
                <c:pt idx="393">
                  <c:v>5.5024624100077609E-17</c:v>
                </c:pt>
                <c:pt idx="394">
                  <c:v>4.7272297416966943E-17</c:v>
                </c:pt>
                <c:pt idx="395">
                  <c:v>4.0544667660439609E-17</c:v>
                </c:pt>
                <c:pt idx="396">
                  <c:v>3.47166155717856E-17</c:v>
                </c:pt>
                <c:pt idx="397">
                  <c:v>2.9676783246905094E-17</c:v>
                </c:pt>
                <c:pt idx="398">
                  <c:v>2.5326274270177586E-17</c:v>
                </c:pt>
                <c:pt idx="399">
                  <c:v>2.1577447552952194E-17</c:v>
                </c:pt>
                <c:pt idx="400">
                  <c:v>1.8352802053143158E-17</c:v>
                </c:pt>
                <c:pt idx="401">
                  <c:v>1.5583949043105521E-17</c:v>
                </c:pt>
                <c:pt idx="402">
                  <c:v>1.3210668191766879E-17</c:v>
                </c:pt>
                <c:pt idx="403">
                  <c:v>1.1180043424281194E-17</c:v>
                </c:pt>
                <c:pt idx="404">
                  <c:v>9.4456743084845309E-18</c:v>
                </c:pt>
                <c:pt idx="405">
                  <c:v>7.9669585824818559E-18</c:v>
                </c:pt>
                <c:pt idx="406">
                  <c:v>6.7084413722772159E-18</c:v>
                </c:pt>
                <c:pt idx="407">
                  <c:v>5.6392266433202756E-18</c:v>
                </c:pt>
                <c:pt idx="408">
                  <c:v>4.7324464764596233E-18</c:v>
                </c:pt>
                <c:pt idx="409">
                  <c:v>3.9647838488556542E-18</c:v>
                </c:pt>
                <c:pt idx="410">
                  <c:v>3.3160447262866413E-18</c:v>
                </c:pt>
                <c:pt idx="411">
                  <c:v>2.7687754279595214E-18</c:v>
                </c:pt>
                <c:pt idx="412">
                  <c:v>2.307921402031065E-18</c:v>
                </c:pt>
                <c:pt idx="413">
                  <c:v>1.9205237438196606E-18</c:v>
                </c:pt>
                <c:pt idx="414">
                  <c:v>1.5954499940422883E-18</c:v>
                </c:pt>
                <c:pt idx="415">
                  <c:v>1.3231559668711942E-18</c:v>
                </c:pt>
                <c:pt idx="416">
                  <c:v>1.0954755732926387E-18</c:v>
                </c:pt>
                <c:pt idx="417">
                  <c:v>9.0543582085582113E-19</c:v>
                </c:pt>
                <c:pt idx="418">
                  <c:v>7.4709438364351707E-19</c:v>
                </c:pt>
                <c:pt idx="419">
                  <c:v>6.1539734388862903E-19</c:v>
                </c:pt>
                <c:pt idx="420">
                  <c:v>5.0605490725984977E-19</c:v>
                </c:pt>
                <c:pt idx="421">
                  <c:v>4.154330860086033E-19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74-4D3E-B0DD-19B312461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78072"/>
        <c:axId val="767265800"/>
      </c:scatterChart>
      <c:valAx>
        <c:axId val="709078072"/>
        <c:scaling>
          <c:orientation val="minMax"/>
          <c:max val="1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265800"/>
        <c:crossesAt val="1.0000000000000006E-10"/>
        <c:crossBetween val="midCat"/>
      </c:valAx>
      <c:valAx>
        <c:axId val="767265800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78072"/>
        <c:crosses val="autoZero"/>
        <c:crossBetween val="midCat"/>
      </c:valAx>
      <c:spPr>
        <a:noFill/>
        <a:ln w="6350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504537</xdr:colOff>
      <xdr:row>14</xdr:row>
      <xdr:rowOff>107373</xdr:rowOff>
    </xdr:from>
    <xdr:to>
      <xdr:col>17</xdr:col>
      <xdr:colOff>90914</xdr:colOff>
      <xdr:row>28</xdr:row>
      <xdr:rowOff>172953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D9764B-F122-4562-AFCC-D9F3FB3E5E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503267</xdr:colOff>
      <xdr:row>0</xdr:row>
      <xdr:rowOff>69273</xdr:rowOff>
    </xdr:from>
    <xdr:to>
      <xdr:col>17</xdr:col>
      <xdr:colOff>89644</xdr:colOff>
      <xdr:row>14</xdr:row>
      <xdr:rowOff>119613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F2B202-60D8-49D4-9D07-E10D894DD9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9626C-043F-4C2F-9582-12FC7797A864}">
  <sheetPr codeName="Sheet1"/>
  <dimension ref="B1:AG1021"/>
  <sheetViews>
    <sheetView showGridLines="0" tabSelected="1" zoomScale="110" zoomScaleNormal="110" workbookViewId="0">
      <selection activeCell="D12" sqref="D12"/>
    </sheetView>
  </sheetViews>
  <sheetFormatPr defaultRowHeight="14.4"/>
  <cols>
    <col min="2" max="2" width="12.77734375" bestFit="1" customWidth="1"/>
    <col min="3" max="3" width="8.5546875" bestFit="1" customWidth="1"/>
    <col min="4" max="4" width="11.109375" customWidth="1"/>
    <col min="9" max="9" width="9.77734375" bestFit="1" customWidth="1"/>
    <col min="10" max="10" width="10.6640625" bestFit="1" customWidth="1"/>
    <col min="11" max="11" width="10" customWidth="1"/>
    <col min="12" max="12" width="9.88671875" bestFit="1" customWidth="1"/>
    <col min="13" max="13" width="12" bestFit="1" customWidth="1"/>
    <col min="14" max="15" width="13.6640625" bestFit="1" customWidth="1"/>
    <col min="16" max="16" width="12.5546875" bestFit="1" customWidth="1"/>
    <col min="17" max="20" width="12.5546875" customWidth="1"/>
    <col min="21" max="21" width="13.6640625" bestFit="1" customWidth="1"/>
    <col min="23" max="23" width="13.21875" bestFit="1" customWidth="1"/>
    <col min="24" max="24" width="15.6640625" bestFit="1" customWidth="1"/>
    <col min="25" max="25" width="11.5546875" bestFit="1" customWidth="1"/>
    <col min="26" max="26" width="15.6640625" bestFit="1" customWidth="1"/>
    <col min="27" max="27" width="10.33203125" bestFit="1" customWidth="1"/>
    <col min="28" max="28" width="9.33203125" bestFit="1" customWidth="1"/>
  </cols>
  <sheetData>
    <row r="1" spans="2:33" ht="15" thickBot="1">
      <c r="M1" s="3"/>
      <c r="Y1" s="6"/>
      <c r="Z1" s="6"/>
      <c r="AA1" s="12"/>
      <c r="AC1" s="11"/>
    </row>
    <row r="2" spans="2:33">
      <c r="B2" s="66" t="s">
        <v>19</v>
      </c>
      <c r="C2" s="67"/>
      <c r="D2" s="67"/>
      <c r="E2" s="67"/>
      <c r="F2" s="67"/>
      <c r="G2" s="67"/>
      <c r="H2" s="67"/>
      <c r="I2" s="67"/>
      <c r="J2" s="68"/>
      <c r="N2" s="4"/>
      <c r="O2" s="3"/>
      <c r="Y2" s="6"/>
      <c r="Z2" s="6"/>
      <c r="AA2" s="7"/>
    </row>
    <row r="3" spans="2:33">
      <c r="B3" s="52" t="s">
        <v>12</v>
      </c>
      <c r="C3" s="53" t="s">
        <v>4</v>
      </c>
      <c r="D3" s="54" t="s">
        <v>14</v>
      </c>
      <c r="E3" s="53" t="s">
        <v>15</v>
      </c>
      <c r="F3" s="53" t="s">
        <v>13</v>
      </c>
      <c r="G3" s="53" t="s">
        <v>1</v>
      </c>
      <c r="H3" s="53" t="s">
        <v>10</v>
      </c>
      <c r="I3" s="53" t="s">
        <v>24</v>
      </c>
      <c r="J3" s="55" t="s">
        <v>25</v>
      </c>
      <c r="K3" s="61"/>
      <c r="Y3" s="4"/>
      <c r="AA3" s="14">
        <f>SUM(AA6:AA165)</f>
        <v>14188.015995932801</v>
      </c>
    </row>
    <row r="4" spans="2:33">
      <c r="B4" s="21">
        <v>1</v>
      </c>
      <c r="C4" s="24">
        <v>5.0000000000000001E-4</v>
      </c>
      <c r="D4" s="47">
        <v>4000</v>
      </c>
      <c r="E4" s="26">
        <v>0.3</v>
      </c>
      <c r="F4" s="28">
        <v>5</v>
      </c>
      <c r="G4" s="59">
        <f>C4*D4*(1-E4)*F4</f>
        <v>7</v>
      </c>
      <c r="H4" s="59">
        <f ca="1">OFFSET($H$39,MATCH(B4,$B$40:$B$199,0),0,1,1)*F4</f>
        <v>238.76473014752264</v>
      </c>
      <c r="I4" s="59">
        <f>NORMSDIST((NORMSINV(C4)-SQRT($C$16)*NORMSINV(1-$C$15))/SQRT(1-$C$16))*D4*F4*(1-E4)</f>
        <v>162.06269580720311</v>
      </c>
      <c r="J4" s="56">
        <f t="shared" ref="J4:J12" ca="1" si="0">H4/G4</f>
        <v>34.109247163931805</v>
      </c>
      <c r="K4" s="7"/>
      <c r="Y4" t="s">
        <v>7</v>
      </c>
      <c r="Z4" t="s">
        <v>11</v>
      </c>
      <c r="AB4" t="s">
        <v>23</v>
      </c>
    </row>
    <row r="5" spans="2:33">
      <c r="B5" s="21">
        <v>2</v>
      </c>
      <c r="C5" s="24">
        <v>1E-3</v>
      </c>
      <c r="D5" s="47">
        <v>2500</v>
      </c>
      <c r="E5" s="26">
        <v>0.4</v>
      </c>
      <c r="F5" s="28">
        <v>20</v>
      </c>
      <c r="G5" s="59">
        <f t="shared" ref="G5:G10" si="1">C5*D5*(1-E5)*F5</f>
        <v>30</v>
      </c>
      <c r="H5" s="59">
        <f t="shared" ref="H5:H11" ca="1" si="2">OFFSET($H$39,MATCH(B5,$B$40:$B$199,0),0,1,1)*F5</f>
        <v>737.73613075900357</v>
      </c>
      <c r="I5" s="59">
        <f t="shared" ref="I5:I10" si="3">NORMSDIST((NORMSINV(C5)-SQRT($C$16)*NORMSINV(1-$C$15))/SQRT(1-$C$16))*D5*F5*(1-E5)</f>
        <v>600.11416744259009</v>
      </c>
      <c r="J5" s="56">
        <f t="shared" ca="1" si="0"/>
        <v>24.591204358633451</v>
      </c>
      <c r="K5" s="7"/>
      <c r="W5" s="5">
        <v>0</v>
      </c>
      <c r="X5">
        <f t="shared" ref="X5:X68" si="4">W5*$C$21</f>
        <v>0</v>
      </c>
      <c r="Y5" s="4">
        <f t="array" aca="1" ref="Y5:Y1005" ca="1">LossDistributionMC(C40:C199,D40:D199,F40:F199,E40:E199,C19,C18,C15,C20)</f>
        <v>1</v>
      </c>
      <c r="Z5" s="4">
        <f t="array" ref="Z5:AA1021">LossDistributionNA(C40:C199,D40:D199,F40:F199,E40:E199,C17,C18,C15)</f>
        <v>0.89189404203736011</v>
      </c>
      <c r="AA5" s="14">
        <v>14187.904555317189</v>
      </c>
      <c r="AB5" s="1"/>
      <c r="AC5" s="37">
        <f>AC6</f>
        <v>1.0000000000000009E-3</v>
      </c>
      <c r="AD5" s="37">
        <v>0</v>
      </c>
      <c r="AE5" s="37">
        <f>AC5</f>
        <v>1.0000000000000009E-3</v>
      </c>
      <c r="AF5" s="7">
        <f ca="1">AD6</f>
        <v>13717.500000000007</v>
      </c>
      <c r="AG5" s="18"/>
    </row>
    <row r="6" spans="2:33">
      <c r="B6" s="21">
        <v>3</v>
      </c>
      <c r="C6" s="24">
        <v>2E-3</v>
      </c>
      <c r="D6" s="47">
        <v>2500</v>
      </c>
      <c r="E6" s="26">
        <v>0.4</v>
      </c>
      <c r="F6" s="28">
        <v>40</v>
      </c>
      <c r="G6" s="59">
        <f>C6*D6*(1-E6)*F6</f>
        <v>120</v>
      </c>
      <c r="H6" s="59">
        <f t="shared" ca="1" si="2"/>
        <v>2542.3144921660423</v>
      </c>
      <c r="I6" s="59">
        <f t="shared" si="3"/>
        <v>2046.1614504887557</v>
      </c>
      <c r="J6" s="56">
        <f t="shared" ca="1" si="0"/>
        <v>21.185954101383686</v>
      </c>
      <c r="K6" s="7"/>
      <c r="W6" s="5">
        <f>W5+0.5*1/$C$18</f>
        <v>5.0000000000000001E-4</v>
      </c>
      <c r="X6">
        <f t="shared" si="4"/>
        <v>147.5</v>
      </c>
      <c r="Y6" s="4">
        <f ca="1"/>
        <v>0.81799999999999995</v>
      </c>
      <c r="Z6" s="4">
        <v>0.83213863914073838</v>
      </c>
      <c r="AA6" s="13">
        <v>47.752946029504528</v>
      </c>
      <c r="AC6" s="37">
        <f>1-$C$15</f>
        <v>1.0000000000000009E-3</v>
      </c>
      <c r="AD6" s="7">
        <f ca="1">U13</f>
        <v>13717.500000000007</v>
      </c>
      <c r="AE6" s="37">
        <v>1.0000000000000001E-9</v>
      </c>
      <c r="AF6" s="7">
        <f ca="1">AD6</f>
        <v>13717.500000000007</v>
      </c>
      <c r="AG6" s="18"/>
    </row>
    <row r="7" spans="2:33">
      <c r="B7" s="21">
        <v>4</v>
      </c>
      <c r="C7" s="24">
        <v>0.01</v>
      </c>
      <c r="D7" s="47">
        <v>2500</v>
      </c>
      <c r="E7" s="26">
        <v>0.5</v>
      </c>
      <c r="F7" s="28">
        <v>20</v>
      </c>
      <c r="G7" s="59">
        <f t="shared" si="1"/>
        <v>250</v>
      </c>
      <c r="H7" s="59">
        <f t="shared" ca="1" si="2"/>
        <v>3344.0397535741795</v>
      </c>
      <c r="I7" s="59">
        <f t="shared" si="3"/>
        <v>2756.6189138686518</v>
      </c>
      <c r="J7" s="56">
        <f t="shared" ca="1" si="0"/>
        <v>13.376159014296718</v>
      </c>
      <c r="K7" s="7"/>
      <c r="W7" s="5">
        <f t="shared" ref="W7:W70" si="5">W6+1/$C$18</f>
        <v>1.5E-3</v>
      </c>
      <c r="X7">
        <f t="shared" si="4"/>
        <v>442.5</v>
      </c>
      <c r="Y7" s="4">
        <f ca="1"/>
        <v>0.64849999999999997</v>
      </c>
      <c r="Z7" s="4">
        <v>0.70139428039794127</v>
      </c>
      <c r="AA7" s="13">
        <v>47.752946029504528</v>
      </c>
      <c r="AF7" s="17"/>
      <c r="AG7" s="18"/>
    </row>
    <row r="8" spans="2:33">
      <c r="B8" s="21">
        <v>5</v>
      </c>
      <c r="C8" s="24">
        <v>0.03</v>
      </c>
      <c r="D8" s="47">
        <v>1000</v>
      </c>
      <c r="E8" s="26">
        <v>0.65</v>
      </c>
      <c r="F8" s="28">
        <v>30</v>
      </c>
      <c r="G8" s="59">
        <f t="shared" si="1"/>
        <v>315</v>
      </c>
      <c r="H8" s="59">
        <f t="shared" ca="1" si="2"/>
        <v>2447.6910917655914</v>
      </c>
      <c r="I8" s="59">
        <f t="shared" si="3"/>
        <v>2405.436093946148</v>
      </c>
      <c r="J8" s="56">
        <f t="shared" ca="1" si="0"/>
        <v>7.7704479103669568</v>
      </c>
      <c r="K8" s="7"/>
      <c r="W8" s="5">
        <f t="shared" si="5"/>
        <v>2.5000000000000001E-3</v>
      </c>
      <c r="X8">
        <f t="shared" si="4"/>
        <v>737.5</v>
      </c>
      <c r="Y8" s="4">
        <f ca="1"/>
        <v>0.5091</v>
      </c>
      <c r="Z8" s="4">
        <v>0.58148342827850741</v>
      </c>
      <c r="AA8" s="13">
        <v>47.752946029504528</v>
      </c>
      <c r="AF8" s="17"/>
      <c r="AG8" s="18"/>
    </row>
    <row r="9" spans="2:33">
      <c r="B9" s="21">
        <v>6</v>
      </c>
      <c r="C9" s="24">
        <v>0.04</v>
      </c>
      <c r="D9" s="47">
        <v>1000</v>
      </c>
      <c r="E9" s="26">
        <v>0.65</v>
      </c>
      <c r="F9" s="28">
        <v>30</v>
      </c>
      <c r="G9" s="59">
        <f t="shared" si="1"/>
        <v>420</v>
      </c>
      <c r="H9" s="59">
        <f t="shared" ca="1" si="2"/>
        <v>2931.5701043742592</v>
      </c>
      <c r="I9" s="59">
        <f t="shared" si="3"/>
        <v>2877.1096247800583</v>
      </c>
      <c r="J9" s="56">
        <f t="shared" ca="1" si="0"/>
        <v>6.9799288199387126</v>
      </c>
      <c r="K9" s="7"/>
      <c r="U9">
        <f>1-C15</f>
        <v>1.0000000000000009E-3</v>
      </c>
      <c r="W9" s="5">
        <f t="shared" si="5"/>
        <v>3.5000000000000001E-3</v>
      </c>
      <c r="X9">
        <f t="shared" si="4"/>
        <v>1032.5</v>
      </c>
      <c r="Y9" s="4">
        <f ca="1"/>
        <v>0.5091</v>
      </c>
      <c r="Z9" s="4">
        <v>0.48015702770962831</v>
      </c>
      <c r="AA9" s="13">
        <v>47.752946029504528</v>
      </c>
      <c r="AC9">
        <f ca="1">MATCH(1-C15,Y5:Y505,-1)</f>
        <v>47</v>
      </c>
      <c r="AF9" s="17"/>
      <c r="AG9" s="18"/>
    </row>
    <row r="10" spans="2:33">
      <c r="B10" s="21">
        <v>7</v>
      </c>
      <c r="C10" s="24">
        <v>0.05</v>
      </c>
      <c r="D10" s="47">
        <v>1000</v>
      </c>
      <c r="E10" s="26">
        <v>0.65</v>
      </c>
      <c r="F10" s="28">
        <v>10</v>
      </c>
      <c r="G10" s="59">
        <f t="shared" si="1"/>
        <v>175</v>
      </c>
      <c r="H10" s="59">
        <f t="shared" ca="1" si="2"/>
        <v>1118.877939916274</v>
      </c>
      <c r="I10" s="59">
        <f t="shared" si="3"/>
        <v>1097.270677778758</v>
      </c>
      <c r="J10" s="56">
        <f t="shared" ca="1" si="0"/>
        <v>6.3935882280929945</v>
      </c>
      <c r="K10" s="7"/>
      <c r="U10">
        <f ca="1">OFFSET(Y5,MATCH(1-C15,Y5:Y505,-1)-1,0,1,1)</f>
        <v>1.1000000000000001E-3</v>
      </c>
      <c r="V10">
        <f ca="1">OFFSET(X5,MATCH(1-C15,Y5:Y505,-1)-1,0,1,1)</f>
        <v>13422.500000000009</v>
      </c>
      <c r="W10" s="5">
        <f t="shared" si="5"/>
        <v>4.5000000000000005E-3</v>
      </c>
      <c r="X10">
        <f t="shared" si="4"/>
        <v>1327.5000000000002</v>
      </c>
      <c r="Y10" s="4">
        <f ca="1"/>
        <v>0.40129999999999999</v>
      </c>
      <c r="Z10" s="4">
        <v>0.39680774377368316</v>
      </c>
      <c r="AA10" s="13">
        <v>47.752946029504528</v>
      </c>
      <c r="AF10" s="17"/>
      <c r="AG10" s="18"/>
    </row>
    <row r="11" spans="2:33" ht="15" thickBot="1">
      <c r="B11" s="22">
        <v>8</v>
      </c>
      <c r="C11" s="25">
        <v>0.1</v>
      </c>
      <c r="D11" s="48">
        <v>1000</v>
      </c>
      <c r="E11" s="27">
        <v>0.65</v>
      </c>
      <c r="F11" s="29">
        <v>5</v>
      </c>
      <c r="G11" s="60">
        <f>C11*D11*(1-E11)*F11</f>
        <v>175</v>
      </c>
      <c r="H11" s="60">
        <f t="shared" ca="1" si="2"/>
        <v>827.02175332087791</v>
      </c>
      <c r="I11" s="60">
        <f>NORMSDIST((NORMSINV(C11)-SQRT($C$16)*NORMSINV(1-$C$15))/SQRT(1-$C$16))*D11*F11*(1-E11)</f>
        <v>810.94378291369617</v>
      </c>
      <c r="J11" s="57">
        <f t="shared" ca="1" si="0"/>
        <v>4.7258385904050169</v>
      </c>
      <c r="K11" s="7"/>
      <c r="U11">
        <f ca="1">OFFSET(Y5,MATCH(1-C15,Y5:Y505,-1),0,1,1)</f>
        <v>1E-3</v>
      </c>
      <c r="V11">
        <f ca="1">OFFSET(X5,MATCH(1-C15,Y5:Y505,-1),0,1,1)</f>
        <v>13717.500000000011</v>
      </c>
      <c r="W11" s="5">
        <f t="shared" si="5"/>
        <v>5.5000000000000005E-3</v>
      </c>
      <c r="X11">
        <f t="shared" si="4"/>
        <v>1622.5000000000002</v>
      </c>
      <c r="Y11" s="4">
        <f ca="1"/>
        <v>0.3216</v>
      </c>
      <c r="Z11" s="4">
        <v>0.32877893269980479</v>
      </c>
      <c r="AA11" s="13">
        <v>36.886806537950179</v>
      </c>
      <c r="AB11" s="1"/>
      <c r="AF11" s="17"/>
      <c r="AG11" s="18"/>
    </row>
    <row r="12" spans="2:33" ht="15" thickBot="1">
      <c r="G12" s="49">
        <f>SUM(G4:G11)</f>
        <v>1492</v>
      </c>
      <c r="H12" s="49">
        <f ca="1">SUM(H4:H11)</f>
        <v>14188.015996023751</v>
      </c>
      <c r="I12" s="49">
        <f>SUM(I4:I11)</f>
        <v>12755.717407025861</v>
      </c>
      <c r="J12" s="58">
        <f t="shared" ca="1" si="0"/>
        <v>9.5093940992116295</v>
      </c>
      <c r="W12" s="5">
        <f t="shared" si="5"/>
        <v>6.5000000000000006E-3</v>
      </c>
      <c r="X12">
        <f t="shared" si="4"/>
        <v>1917.5000000000002</v>
      </c>
      <c r="Y12" s="4">
        <f ca="1"/>
        <v>0.27200000000000002</v>
      </c>
      <c r="Z12" s="4">
        <v>0.27342374256366836</v>
      </c>
      <c r="AA12" s="13">
        <v>36.886806537950179</v>
      </c>
      <c r="AD12" s="42">
        <v>5.0000000000000001E-4</v>
      </c>
      <c r="AE12" s="20">
        <v>5000</v>
      </c>
      <c r="AF12" s="43">
        <v>0.3</v>
      </c>
      <c r="AG12" s="44">
        <v>5</v>
      </c>
    </row>
    <row r="13" spans="2:33" ht="15" thickBot="1">
      <c r="G13" s="47"/>
      <c r="H13" s="51"/>
      <c r="I13" s="51"/>
      <c r="U13" s="47">
        <f ca="1">((U10-U9)*V11+(U9-U11)*V10)/(U10-U11)</f>
        <v>13717.500000000007</v>
      </c>
      <c r="W13" s="5">
        <f t="shared" si="5"/>
        <v>7.5000000000000006E-3</v>
      </c>
      <c r="X13">
        <f t="shared" si="4"/>
        <v>2212.5</v>
      </c>
      <c r="Y13" s="4">
        <f ca="1"/>
        <v>0.21920000000000001</v>
      </c>
      <c r="Z13" s="4">
        <v>0.22824693597621135</v>
      </c>
      <c r="AA13" s="13">
        <v>36.886806537950179</v>
      </c>
      <c r="AD13" s="45">
        <v>1E-3</v>
      </c>
      <c r="AE13">
        <v>2500</v>
      </c>
      <c r="AF13" s="26">
        <v>0.4</v>
      </c>
      <c r="AG13" s="33">
        <v>20</v>
      </c>
    </row>
    <row r="14" spans="2:33" ht="15" thickBot="1">
      <c r="B14" s="62" t="s">
        <v>18</v>
      </c>
      <c r="C14" s="63"/>
      <c r="J14" s="16"/>
      <c r="W14" s="5">
        <f t="shared" si="5"/>
        <v>8.5000000000000006E-3</v>
      </c>
      <c r="X14">
        <f t="shared" si="4"/>
        <v>2507.5</v>
      </c>
      <c r="Y14" s="4">
        <f ca="1"/>
        <v>0.1857</v>
      </c>
      <c r="Z14" s="4">
        <v>0.19118936975058234</v>
      </c>
      <c r="AA14" s="13">
        <v>36.886806537950179</v>
      </c>
      <c r="AC14" s="7"/>
      <c r="AD14" s="45">
        <v>2E-3</v>
      </c>
      <c r="AE14">
        <v>2500</v>
      </c>
      <c r="AF14" s="26">
        <v>0.4</v>
      </c>
      <c r="AG14" s="33">
        <v>40</v>
      </c>
    </row>
    <row r="15" spans="2:33">
      <c r="B15" s="19" t="s">
        <v>16</v>
      </c>
      <c r="C15" s="31">
        <v>0.999</v>
      </c>
      <c r="J15" s="16"/>
      <c r="W15" s="5">
        <f t="shared" si="5"/>
        <v>9.5000000000000015E-3</v>
      </c>
      <c r="X15">
        <f t="shared" si="4"/>
        <v>2802.5000000000005</v>
      </c>
      <c r="Y15" s="4">
        <f ca="1"/>
        <v>0.15540000000000001</v>
      </c>
      <c r="Z15" s="4">
        <v>0.16075101082872842</v>
      </c>
      <c r="AA15" s="13">
        <v>36.886806537950179</v>
      </c>
      <c r="AD15" s="45">
        <v>0.01</v>
      </c>
      <c r="AE15">
        <v>2500</v>
      </c>
      <c r="AF15" s="26">
        <v>0.5</v>
      </c>
      <c r="AG15" s="33">
        <v>20</v>
      </c>
    </row>
    <row r="16" spans="2:33">
      <c r="B16" s="21" t="s">
        <v>3</v>
      </c>
      <c r="C16" s="32">
        <v>0.15</v>
      </c>
      <c r="J16" s="16"/>
      <c r="W16" s="5">
        <f t="shared" si="5"/>
        <v>1.0500000000000002E-2</v>
      </c>
      <c r="X16">
        <f t="shared" si="4"/>
        <v>3097.5000000000009</v>
      </c>
      <c r="Y16" s="4">
        <f ca="1"/>
        <v>0.13669999999999999</v>
      </c>
      <c r="Z16" s="4">
        <v>0.13571902259719976</v>
      </c>
      <c r="AA16" s="13">
        <v>36.886806537950179</v>
      </c>
      <c r="AD16" s="45">
        <v>0.03</v>
      </c>
      <c r="AE16">
        <v>1000</v>
      </c>
      <c r="AF16" s="26">
        <v>0.65</v>
      </c>
      <c r="AG16" s="33">
        <v>30</v>
      </c>
    </row>
    <row r="17" spans="2:33">
      <c r="B17" s="21" t="s">
        <v>2</v>
      </c>
      <c r="C17" s="35">
        <v>20</v>
      </c>
      <c r="J17" s="16"/>
      <c r="W17" s="5">
        <f t="shared" si="5"/>
        <v>1.1500000000000003E-2</v>
      </c>
      <c r="X17">
        <f t="shared" si="4"/>
        <v>3392.5000000000009</v>
      </c>
      <c r="Y17" s="4">
        <f ca="1"/>
        <v>0.1133</v>
      </c>
      <c r="Z17" s="4">
        <v>0.11501517746856682</v>
      </c>
      <c r="AA17" s="13">
        <v>36.886806537950179</v>
      </c>
      <c r="AD17" s="45">
        <v>0.04</v>
      </c>
      <c r="AE17">
        <v>1000</v>
      </c>
      <c r="AF17" s="26">
        <v>0.65</v>
      </c>
      <c r="AG17" s="33">
        <v>30</v>
      </c>
    </row>
    <row r="18" spans="2:33">
      <c r="B18" s="21" t="s">
        <v>0</v>
      </c>
      <c r="C18" s="35">
        <v>1000</v>
      </c>
      <c r="J18" s="16"/>
      <c r="W18" s="5">
        <f t="shared" si="5"/>
        <v>1.2500000000000004E-2</v>
      </c>
      <c r="X18">
        <f t="shared" si="4"/>
        <v>3687.5000000000014</v>
      </c>
      <c r="Y18" s="4">
        <f ca="1"/>
        <v>0.1012</v>
      </c>
      <c r="Z18" s="4">
        <v>9.7746115383725685E-2</v>
      </c>
      <c r="AA18" s="13">
        <v>36.886806537950179</v>
      </c>
      <c r="AD18" s="45">
        <v>0.05</v>
      </c>
      <c r="AE18">
        <v>1000</v>
      </c>
      <c r="AF18" s="26">
        <v>0.65</v>
      </c>
      <c r="AG18" s="33">
        <v>10</v>
      </c>
    </row>
    <row r="19" spans="2:33" ht="15" thickBot="1">
      <c r="B19" s="21" t="s">
        <v>9</v>
      </c>
      <c r="C19" s="35">
        <v>10000</v>
      </c>
      <c r="J19" s="16"/>
      <c r="W19" s="5">
        <f t="shared" si="5"/>
        <v>1.3500000000000005E-2</v>
      </c>
      <c r="X19">
        <f t="shared" si="4"/>
        <v>3982.5000000000014</v>
      </c>
      <c r="Y19" s="4">
        <f ca="1"/>
        <v>8.5000000000000006E-2</v>
      </c>
      <c r="Z19" s="4">
        <v>8.3253888563907086E-2</v>
      </c>
      <c r="AA19" s="13">
        <v>36.886806537950179</v>
      </c>
      <c r="AD19" s="46">
        <v>0.1</v>
      </c>
      <c r="AE19" s="23">
        <v>1000</v>
      </c>
      <c r="AF19" s="27">
        <v>0.65</v>
      </c>
      <c r="AG19" s="34">
        <v>5</v>
      </c>
    </row>
    <row r="20" spans="2:33">
      <c r="B20" s="21" t="s">
        <v>22</v>
      </c>
      <c r="C20" s="41">
        <f ca="1">NOW()</f>
        <v>44989.499512615737</v>
      </c>
      <c r="J20" s="16"/>
      <c r="W20" s="5">
        <f t="shared" si="5"/>
        <v>1.4500000000000006E-2</v>
      </c>
      <c r="X20">
        <f t="shared" si="4"/>
        <v>4277.5000000000018</v>
      </c>
      <c r="Y20" s="4">
        <f ca="1"/>
        <v>7.3800000000000004E-2</v>
      </c>
      <c r="Z20" s="4">
        <v>7.1075847401081679E-2</v>
      </c>
      <c r="AA20" s="13">
        <v>36.886806537950179</v>
      </c>
      <c r="AF20" s="1"/>
      <c r="AG20" s="2"/>
    </row>
    <row r="21" spans="2:33" ht="15" thickBot="1">
      <c r="B21" s="22" t="s">
        <v>17</v>
      </c>
      <c r="C21" s="36">
        <f>SUM(C40:C199)</f>
        <v>295000</v>
      </c>
      <c r="J21" s="16"/>
      <c r="W21" s="5">
        <f t="shared" si="5"/>
        <v>1.5500000000000007E-2</v>
      </c>
      <c r="X21">
        <f t="shared" si="4"/>
        <v>4572.5000000000018</v>
      </c>
      <c r="Y21" s="4">
        <f ca="1"/>
        <v>6.2700000000000006E-2</v>
      </c>
      <c r="Z21" s="4">
        <v>6.0859393134936622E-2</v>
      </c>
      <c r="AA21" s="13">
        <v>36.886806537950179</v>
      </c>
      <c r="AF21" s="1"/>
      <c r="AG21" s="2"/>
    </row>
    <row r="22" spans="2:33" ht="15" thickBot="1">
      <c r="J22" s="16"/>
      <c r="W22" s="5">
        <f t="shared" si="5"/>
        <v>1.6500000000000008E-2</v>
      </c>
      <c r="X22">
        <f t="shared" si="4"/>
        <v>4867.5000000000027</v>
      </c>
      <c r="Y22" s="4">
        <f ca="1"/>
        <v>5.4399999999999997E-2</v>
      </c>
      <c r="Z22" s="4">
        <v>5.22964253240999E-2</v>
      </c>
      <c r="AA22" s="13">
        <v>36.886806537950179</v>
      </c>
      <c r="AF22" s="1"/>
      <c r="AG22" s="2"/>
    </row>
    <row r="23" spans="2:33" ht="15" thickBot="1">
      <c r="B23" s="64" t="s">
        <v>20</v>
      </c>
      <c r="C23" s="65"/>
      <c r="J23" s="16"/>
      <c r="K23" s="12"/>
      <c r="W23" s="5">
        <f t="shared" si="5"/>
        <v>1.7500000000000009E-2</v>
      </c>
      <c r="X23">
        <f t="shared" si="4"/>
        <v>5162.5000000000027</v>
      </c>
      <c r="Y23" s="4">
        <f ca="1"/>
        <v>4.6699999999999998E-2</v>
      </c>
      <c r="Z23" s="4">
        <v>4.5100337389049852E-2</v>
      </c>
      <c r="AA23" s="13">
        <v>36.886806537950179</v>
      </c>
      <c r="AF23" s="1"/>
      <c r="AG23" s="2"/>
    </row>
    <row r="24" spans="2:33">
      <c r="B24" s="38" t="s">
        <v>7</v>
      </c>
      <c r="C24" s="39">
        <f ca="1">U13</f>
        <v>13717.500000000007</v>
      </c>
      <c r="J24" s="16"/>
      <c r="W24" s="5">
        <f t="shared" si="5"/>
        <v>1.8500000000000009E-2</v>
      </c>
      <c r="X24">
        <f t="shared" si="4"/>
        <v>5457.5000000000027</v>
      </c>
      <c r="Y24" s="4">
        <f ca="1"/>
        <v>3.9399999999999998E-2</v>
      </c>
      <c r="Z24" s="4">
        <v>3.9012657505120674E-2</v>
      </c>
      <c r="AA24" s="13">
        <v>36.886806537950179</v>
      </c>
      <c r="AF24" s="1"/>
      <c r="AG24" s="2"/>
    </row>
    <row r="25" spans="2:33" ht="15" thickBot="1">
      <c r="B25" s="40" t="s">
        <v>21</v>
      </c>
      <c r="C25" s="50">
        <f>AA5</f>
        <v>14187.904555317189</v>
      </c>
      <c r="J25" s="16"/>
      <c r="W25" s="5">
        <f t="shared" si="5"/>
        <v>1.950000000000001E-2</v>
      </c>
      <c r="X25">
        <f t="shared" si="4"/>
        <v>5752.5000000000027</v>
      </c>
      <c r="Y25" s="4">
        <f ca="1"/>
        <v>3.4500000000000003E-2</v>
      </c>
      <c r="Z25" s="4">
        <v>3.3817270830878154E-2</v>
      </c>
      <c r="AA25" s="13">
        <v>36.886806537950179</v>
      </c>
      <c r="AF25" s="1"/>
      <c r="AG25" s="2"/>
    </row>
    <row r="26" spans="2:33">
      <c r="J26" s="16"/>
      <c r="W26" s="5">
        <f t="shared" si="5"/>
        <v>2.0500000000000011E-2</v>
      </c>
      <c r="X26">
        <f t="shared" si="4"/>
        <v>6047.5000000000036</v>
      </c>
      <c r="Y26" s="4">
        <f ca="1"/>
        <v>0.03</v>
      </c>
      <c r="Z26" s="4">
        <v>2.9347588685299342E-2</v>
      </c>
      <c r="AA26" s="13">
        <v>36.886806537950179</v>
      </c>
      <c r="AF26" s="1"/>
      <c r="AG26" s="2"/>
    </row>
    <row r="27" spans="2:33">
      <c r="J27" s="16"/>
      <c r="W27" s="5">
        <f t="shared" si="5"/>
        <v>2.1500000000000012E-2</v>
      </c>
      <c r="X27">
        <f t="shared" si="4"/>
        <v>6342.5000000000036</v>
      </c>
      <c r="Y27" s="4">
        <f ca="1"/>
        <v>2.6599999999999999E-2</v>
      </c>
      <c r="Z27" s="4">
        <v>2.5483016814888182E-2</v>
      </c>
      <c r="AA27" s="13">
        <v>36.886806537950179</v>
      </c>
      <c r="AF27" s="1"/>
      <c r="AG27" s="2"/>
    </row>
    <row r="28" spans="2:33">
      <c r="J28" s="16"/>
      <c r="W28" s="5">
        <f t="shared" si="5"/>
        <v>2.2500000000000013E-2</v>
      </c>
      <c r="X28">
        <f t="shared" si="4"/>
        <v>6637.5000000000036</v>
      </c>
      <c r="Y28" s="4">
        <f ca="1"/>
        <v>2.2800000000000001E-2</v>
      </c>
      <c r="Z28" s="4">
        <v>2.2138040633542917E-2</v>
      </c>
      <c r="AA28" s="13">
        <v>36.886806537950179</v>
      </c>
      <c r="AF28" s="1"/>
      <c r="AG28" s="2"/>
    </row>
    <row r="29" spans="2:33">
      <c r="J29" s="16"/>
      <c r="W29" s="5">
        <f t="shared" si="5"/>
        <v>2.3500000000000014E-2</v>
      </c>
      <c r="X29">
        <f t="shared" si="4"/>
        <v>6932.5000000000045</v>
      </c>
      <c r="Y29" s="4">
        <f ca="1"/>
        <v>2.0500000000000001E-2</v>
      </c>
      <c r="Z29" s="4">
        <v>1.9249229082162481E-2</v>
      </c>
      <c r="AA29" s="13">
        <v>36.886806537950179</v>
      </c>
      <c r="AF29" s="1"/>
      <c r="AG29" s="2"/>
    </row>
    <row r="30" spans="2:33">
      <c r="J30" s="16"/>
      <c r="W30" s="5">
        <f t="shared" si="5"/>
        <v>2.4500000000000015E-2</v>
      </c>
      <c r="X30">
        <f t="shared" si="4"/>
        <v>7227.5000000000045</v>
      </c>
      <c r="Y30" s="4">
        <f ca="1"/>
        <v>1.7000000000000001E-2</v>
      </c>
      <c r="Z30" s="4">
        <v>1.676430769523523E-2</v>
      </c>
      <c r="AA30" s="13">
        <v>36.886806537950179</v>
      </c>
      <c r="AF30" s="1"/>
      <c r="AG30" s="2"/>
    </row>
    <row r="31" spans="2:33">
      <c r="J31" s="16"/>
      <c r="W31" s="5">
        <f t="shared" si="5"/>
        <v>2.5500000000000016E-2</v>
      </c>
      <c r="X31">
        <f t="shared" si="4"/>
        <v>7522.5000000000045</v>
      </c>
      <c r="Y31" s="4">
        <f ca="1"/>
        <v>1.54E-2</v>
      </c>
      <c r="Z31" s="4">
        <v>1.4635220237516941E-2</v>
      </c>
      <c r="AA31" s="13">
        <v>63.557862304151058</v>
      </c>
      <c r="AF31" s="1"/>
      <c r="AG31" s="2"/>
    </row>
    <row r="32" spans="2:33">
      <c r="J32" s="16"/>
      <c r="W32" s="5">
        <f t="shared" si="5"/>
        <v>2.6500000000000017E-2</v>
      </c>
      <c r="X32">
        <f t="shared" si="4"/>
        <v>7817.5000000000045</v>
      </c>
      <c r="Y32" s="4">
        <f ca="1"/>
        <v>1.2800000000000001E-2</v>
      </c>
      <c r="Z32" s="4">
        <v>1.2815173901907955E-2</v>
      </c>
      <c r="AA32" s="13">
        <v>63.557862304151058</v>
      </c>
      <c r="AF32" s="1"/>
      <c r="AG32" s="2"/>
    </row>
    <row r="33" spans="2:33">
      <c r="J33" s="16"/>
      <c r="W33" s="5">
        <f t="shared" si="5"/>
        <v>2.7500000000000017E-2</v>
      </c>
      <c r="X33">
        <f t="shared" si="4"/>
        <v>8112.5000000000055</v>
      </c>
      <c r="Y33" s="4">
        <f ca="1"/>
        <v>1.14E-2</v>
      </c>
      <c r="Z33" s="4">
        <v>1.1258571654650409E-2</v>
      </c>
      <c r="AA33" s="13">
        <v>63.557862304151058</v>
      </c>
      <c r="AF33" s="1"/>
      <c r="AG33" s="2"/>
    </row>
    <row r="34" spans="2:33">
      <c r="J34" s="16"/>
      <c r="W34" s="5">
        <f t="shared" si="5"/>
        <v>2.8500000000000018E-2</v>
      </c>
      <c r="X34">
        <f t="shared" si="4"/>
        <v>8407.5000000000055</v>
      </c>
      <c r="Y34" s="4">
        <f ca="1"/>
        <v>1.0500000000000001E-2</v>
      </c>
      <c r="Z34" s="4">
        <v>9.9224376796325214E-3</v>
      </c>
      <c r="AA34" s="13">
        <v>63.557862304151058</v>
      </c>
      <c r="AF34" s="1"/>
      <c r="AG34" s="2"/>
    </row>
    <row r="35" spans="2:33">
      <c r="J35" s="16"/>
      <c r="W35" s="5">
        <f t="shared" si="5"/>
        <v>2.9500000000000019E-2</v>
      </c>
      <c r="X35">
        <f t="shared" si="4"/>
        <v>8702.5000000000055</v>
      </c>
      <c r="Y35" s="4">
        <f ca="1"/>
        <v>9.1999999999999998E-3</v>
      </c>
      <c r="Z35" s="4">
        <v>8.7681738351027844E-3</v>
      </c>
      <c r="AA35" s="13">
        <v>63.557862304151058</v>
      </c>
      <c r="AF35" s="1"/>
      <c r="AG35" s="2"/>
    </row>
    <row r="36" spans="2:33">
      <c r="J36" s="16"/>
      <c r="W36" s="5">
        <f t="shared" si="5"/>
        <v>3.050000000000002E-2</v>
      </c>
      <c r="X36">
        <f t="shared" si="4"/>
        <v>8997.5000000000055</v>
      </c>
      <c r="Y36" s="4">
        <f ca="1"/>
        <v>8.2000000000000007E-3</v>
      </c>
      <c r="Z36" s="4">
        <v>7.76286290390997E-3</v>
      </c>
      <c r="AA36" s="13">
        <v>63.557862304151058</v>
      </c>
      <c r="AF36" s="1"/>
      <c r="AG36" s="2"/>
    </row>
    <row r="37" spans="2:33">
      <c r="J37" s="16"/>
      <c r="W37" s="5">
        <f t="shared" si="5"/>
        <v>3.1500000000000021E-2</v>
      </c>
      <c r="X37">
        <f t="shared" si="4"/>
        <v>9292.5000000000055</v>
      </c>
      <c r="Y37" s="4">
        <f ca="1"/>
        <v>7.1999999999999998E-3</v>
      </c>
      <c r="Z37" s="4">
        <v>6.8798392060940312E-3</v>
      </c>
      <c r="AA37" s="13">
        <v>63.557862304151058</v>
      </c>
      <c r="AF37" s="1"/>
      <c r="AG37" s="2"/>
    </row>
    <row r="38" spans="2:33">
      <c r="J38" s="16"/>
      <c r="W38" s="5">
        <f t="shared" si="5"/>
        <v>3.2500000000000022E-2</v>
      </c>
      <c r="X38">
        <f t="shared" si="4"/>
        <v>9587.5000000000073</v>
      </c>
      <c r="Y38" s="4">
        <f ca="1"/>
        <v>6.4000000000000003E-3</v>
      </c>
      <c r="Z38" s="4">
        <v>6.0984933916462198E-3</v>
      </c>
      <c r="AA38" s="13">
        <v>63.557862304151058</v>
      </c>
      <c r="AF38" s="1"/>
      <c r="AG38" s="2"/>
    </row>
    <row r="39" spans="2:33">
      <c r="B39" t="s">
        <v>12</v>
      </c>
      <c r="C39" t="s">
        <v>6</v>
      </c>
      <c r="D39" t="s">
        <v>4</v>
      </c>
      <c r="E39" t="s">
        <v>5</v>
      </c>
      <c r="F39" t="s">
        <v>8</v>
      </c>
      <c r="G39" t="s">
        <v>1</v>
      </c>
      <c r="H39" t="s">
        <v>10</v>
      </c>
      <c r="J39" s="16"/>
      <c r="W39" s="5">
        <f t="shared" si="5"/>
        <v>3.3500000000000023E-2</v>
      </c>
      <c r="X39">
        <f t="shared" si="4"/>
        <v>9882.5000000000073</v>
      </c>
      <c r="Y39" s="4">
        <f ca="1"/>
        <v>5.5999999999999999E-3</v>
      </c>
      <c r="Z39" s="4">
        <v>5.4035069571779721E-3</v>
      </c>
      <c r="AA39" s="13">
        <v>63.557862304151058</v>
      </c>
      <c r="AF39" s="1"/>
      <c r="AG39" s="2"/>
    </row>
    <row r="40" spans="2:33">
      <c r="B40">
        <f t="array" ref="B40:B199">ExpandData(B4:B11,F4:F11)</f>
        <v>1</v>
      </c>
      <c r="C40">
        <f t="array" ref="C40:C199">ExpandData(D4:D11,F4:F11)</f>
        <v>4000</v>
      </c>
      <c r="D40" s="5">
        <f t="array" ref="D40:D199">ExpandData(C4:C11,F4:F11)</f>
        <v>5.0000000000000001E-4</v>
      </c>
      <c r="E40" s="2">
        <f t="array" ref="E40:E199">ExpandData(E4:E11,F4:F11)</f>
        <v>0.3</v>
      </c>
      <c r="F40" s="30">
        <f t="shared" ref="F40:F71" si="6">$C$16</f>
        <v>0.15</v>
      </c>
      <c r="G40" s="11">
        <f>C40*D40*(1-E40)</f>
        <v>1.4</v>
      </c>
      <c r="H40" s="15">
        <f t="shared" ref="H40:H71" si="7">AA6</f>
        <v>47.752946029504528</v>
      </c>
      <c r="I40" s="15"/>
      <c r="J40" s="16"/>
      <c r="W40" s="5">
        <f t="shared" si="5"/>
        <v>3.4500000000000024E-2</v>
      </c>
      <c r="X40">
        <f t="shared" si="4"/>
        <v>10177.500000000007</v>
      </c>
      <c r="Y40" s="4">
        <f ca="1"/>
        <v>4.8999999999999998E-3</v>
      </c>
      <c r="Z40" s="4">
        <v>4.7837679055908041E-3</v>
      </c>
      <c r="AA40" s="13">
        <v>63.557862304151058</v>
      </c>
      <c r="AF40" s="1"/>
      <c r="AG40" s="2"/>
    </row>
    <row r="41" spans="2:33">
      <c r="B41">
        <v>1</v>
      </c>
      <c r="C41">
        <v>4000</v>
      </c>
      <c r="D41" s="5">
        <v>5.0000000000000001E-4</v>
      </c>
      <c r="E41" s="2">
        <v>0.3</v>
      </c>
      <c r="F41" s="30">
        <f t="shared" si="6"/>
        <v>0.15</v>
      </c>
      <c r="G41" s="11">
        <f>C41*D41*(1-E41)</f>
        <v>1.4</v>
      </c>
      <c r="H41" s="15">
        <f t="shared" si="7"/>
        <v>47.752946029504528</v>
      </c>
      <c r="I41" s="15"/>
      <c r="J41" s="16"/>
      <c r="W41" s="5">
        <f t="shared" si="5"/>
        <v>3.5500000000000025E-2</v>
      </c>
      <c r="X41">
        <f t="shared" si="4"/>
        <v>10472.500000000007</v>
      </c>
      <c r="Y41" s="4">
        <f ca="1"/>
        <v>4.1999999999999997E-3</v>
      </c>
      <c r="Z41" s="4">
        <v>4.2312038227725127E-3</v>
      </c>
      <c r="AA41" s="13">
        <v>63.557862304151058</v>
      </c>
      <c r="AF41" s="1"/>
      <c r="AG41" s="2"/>
    </row>
    <row r="42" spans="2:33">
      <c r="B42">
        <v>1</v>
      </c>
      <c r="C42">
        <v>4000</v>
      </c>
      <c r="D42" s="5">
        <v>5.0000000000000001E-4</v>
      </c>
      <c r="E42" s="2">
        <v>0.3</v>
      </c>
      <c r="F42" s="30">
        <f t="shared" si="6"/>
        <v>0.15</v>
      </c>
      <c r="G42" s="11">
        <f>C42*D42*(1-E42)</f>
        <v>1.4</v>
      </c>
      <c r="H42" s="15">
        <f t="shared" si="7"/>
        <v>47.752946029504528</v>
      </c>
      <c r="I42" s="15"/>
      <c r="J42" s="16"/>
      <c r="W42" s="5">
        <f t="shared" si="5"/>
        <v>3.6500000000000025E-2</v>
      </c>
      <c r="X42">
        <f t="shared" si="4"/>
        <v>10767.500000000007</v>
      </c>
      <c r="Y42" s="4">
        <f ca="1"/>
        <v>3.8999999999999998E-3</v>
      </c>
      <c r="Z42" s="4">
        <v>3.7397122823205164E-3</v>
      </c>
      <c r="AA42" s="13">
        <v>63.557862304151058</v>
      </c>
      <c r="AF42" s="1"/>
      <c r="AG42" s="2"/>
    </row>
    <row r="43" spans="2:33">
      <c r="B43">
        <v>1</v>
      </c>
      <c r="C43">
        <v>4000</v>
      </c>
      <c r="D43" s="5">
        <v>5.0000000000000001E-4</v>
      </c>
      <c r="E43" s="2">
        <v>0.3</v>
      </c>
      <c r="F43" s="30">
        <f t="shared" si="6"/>
        <v>0.15</v>
      </c>
      <c r="G43" s="11">
        <f>C43*D43*(1-E43)</f>
        <v>1.4</v>
      </c>
      <c r="H43" s="15">
        <f t="shared" si="7"/>
        <v>47.752946029504528</v>
      </c>
      <c r="I43" s="15"/>
      <c r="J43" s="16"/>
      <c r="W43" s="5">
        <f t="shared" si="5"/>
        <v>3.7500000000000026E-2</v>
      </c>
      <c r="X43">
        <f t="shared" si="4"/>
        <v>11062.500000000007</v>
      </c>
      <c r="Y43" s="4">
        <f ca="1"/>
        <v>3.7000000000000002E-3</v>
      </c>
      <c r="Z43" s="4">
        <v>3.3042970140201027E-3</v>
      </c>
      <c r="AA43" s="13">
        <v>63.557862304151058</v>
      </c>
      <c r="AF43" s="1"/>
      <c r="AG43" s="2"/>
    </row>
    <row r="44" spans="2:33">
      <c r="B44">
        <v>1</v>
      </c>
      <c r="C44">
        <v>4000</v>
      </c>
      <c r="D44" s="5">
        <v>5.0000000000000001E-4</v>
      </c>
      <c r="E44" s="2">
        <v>0.3</v>
      </c>
      <c r="F44" s="30">
        <f t="shared" si="6"/>
        <v>0.15</v>
      </c>
      <c r="G44" s="11">
        <f>C44*D44*(1-E44)</f>
        <v>1.4</v>
      </c>
      <c r="H44" s="15">
        <f t="shared" si="7"/>
        <v>47.752946029504528</v>
      </c>
      <c r="I44" s="15"/>
      <c r="J44" s="16"/>
      <c r="W44" s="5">
        <f t="shared" si="5"/>
        <v>3.8500000000000027E-2</v>
      </c>
      <c r="X44">
        <f t="shared" si="4"/>
        <v>11357.500000000007</v>
      </c>
      <c r="Y44" s="4">
        <f ca="1"/>
        <v>2.8999999999999998E-3</v>
      </c>
      <c r="Z44" s="4">
        <v>2.9204523192142597E-3</v>
      </c>
      <c r="AA44" s="13">
        <v>63.557862304151058</v>
      </c>
      <c r="AF44" s="1"/>
      <c r="AG44" s="2"/>
    </row>
    <row r="45" spans="2:33">
      <c r="B45">
        <v>2</v>
      </c>
      <c r="C45">
        <v>2500</v>
      </c>
      <c r="D45" s="5">
        <v>1E-3</v>
      </c>
      <c r="E45" s="2">
        <v>0.4</v>
      </c>
      <c r="F45" s="30">
        <f t="shared" si="6"/>
        <v>0.15</v>
      </c>
      <c r="G45" s="11">
        <f t="shared" ref="G45:G104" si="8">C45*D45*(1-E45)</f>
        <v>1.5</v>
      </c>
      <c r="H45" s="15">
        <f t="shared" si="7"/>
        <v>36.886806537950179</v>
      </c>
      <c r="I45" s="15"/>
      <c r="J45" s="16"/>
      <c r="W45" s="5">
        <f t="shared" si="5"/>
        <v>3.9500000000000028E-2</v>
      </c>
      <c r="X45">
        <f t="shared" si="4"/>
        <v>11652.500000000009</v>
      </c>
      <c r="Y45" s="4">
        <f ca="1"/>
        <v>2.3E-3</v>
      </c>
      <c r="Z45" s="4">
        <v>2.583788195830931E-3</v>
      </c>
      <c r="AA45" s="13">
        <v>63.557862304151058</v>
      </c>
      <c r="AF45" s="1"/>
      <c r="AG45" s="2"/>
    </row>
    <row r="46" spans="2:33">
      <c r="B46">
        <v>2</v>
      </c>
      <c r="C46">
        <v>2500</v>
      </c>
      <c r="D46" s="5">
        <v>1E-3</v>
      </c>
      <c r="E46" s="2">
        <v>0.4</v>
      </c>
      <c r="F46" s="30">
        <f t="shared" si="6"/>
        <v>0.15</v>
      </c>
      <c r="G46" s="11">
        <f t="shared" si="8"/>
        <v>1.5</v>
      </c>
      <c r="H46" s="15">
        <f t="shared" si="7"/>
        <v>36.886806537950179</v>
      </c>
      <c r="I46" s="15"/>
      <c r="J46" s="16"/>
      <c r="W46" s="5">
        <f t="shared" si="5"/>
        <v>4.0500000000000029E-2</v>
      </c>
      <c r="X46">
        <f t="shared" si="4"/>
        <v>11947.500000000009</v>
      </c>
      <c r="Y46" s="4">
        <f ca="1"/>
        <v>2E-3</v>
      </c>
      <c r="Z46" s="4">
        <v>2.289857417549692E-3</v>
      </c>
      <c r="AA46" s="13">
        <v>63.557862304151058</v>
      </c>
      <c r="AF46" s="1"/>
      <c r="AG46" s="2"/>
    </row>
    <row r="47" spans="2:33">
      <c r="B47">
        <v>2</v>
      </c>
      <c r="C47">
        <v>2500</v>
      </c>
      <c r="D47" s="5">
        <v>1E-3</v>
      </c>
      <c r="E47" s="2">
        <v>0.4</v>
      </c>
      <c r="F47" s="30">
        <f t="shared" si="6"/>
        <v>0.15</v>
      </c>
      <c r="G47" s="11">
        <f t="shared" si="8"/>
        <v>1.5</v>
      </c>
      <c r="H47" s="15">
        <f t="shared" si="7"/>
        <v>36.886806537950179</v>
      </c>
      <c r="I47" s="15"/>
      <c r="J47" s="16"/>
      <c r="W47" s="5">
        <f t="shared" si="5"/>
        <v>4.150000000000003E-2</v>
      </c>
      <c r="X47">
        <f t="shared" si="4"/>
        <v>12242.500000000009</v>
      </c>
      <c r="Y47" s="4">
        <f ca="1"/>
        <v>2E-3</v>
      </c>
      <c r="Z47" s="4">
        <v>2.0341315394158967E-3</v>
      </c>
      <c r="AA47" s="13">
        <v>63.557862304151058</v>
      </c>
      <c r="AF47" s="1"/>
      <c r="AG47" s="2"/>
    </row>
    <row r="48" spans="2:33">
      <c r="B48">
        <v>2</v>
      </c>
      <c r="C48">
        <v>2500</v>
      </c>
      <c r="D48" s="5">
        <v>1E-3</v>
      </c>
      <c r="E48" s="2">
        <v>0.4</v>
      </c>
      <c r="F48" s="30">
        <f t="shared" si="6"/>
        <v>0.15</v>
      </c>
      <c r="G48" s="11">
        <f t="shared" si="8"/>
        <v>1.5</v>
      </c>
      <c r="H48" s="15">
        <f t="shared" si="7"/>
        <v>36.886806537950179</v>
      </c>
      <c r="I48" s="15"/>
      <c r="J48" s="16"/>
      <c r="W48" s="5">
        <f t="shared" si="5"/>
        <v>4.2500000000000031E-2</v>
      </c>
      <c r="X48">
        <f t="shared" si="4"/>
        <v>12537.500000000009</v>
      </c>
      <c r="Y48" s="4">
        <f ca="1"/>
        <v>1.6000000000000001E-3</v>
      </c>
      <c r="Z48" s="4">
        <v>1.8120713352238016E-3</v>
      </c>
      <c r="AA48" s="13">
        <v>63.557862304151058</v>
      </c>
      <c r="AF48" s="1"/>
      <c r="AG48" s="2"/>
    </row>
    <row r="49" spans="2:33">
      <c r="B49">
        <v>2</v>
      </c>
      <c r="C49">
        <v>2500</v>
      </c>
      <c r="D49" s="5">
        <v>1E-3</v>
      </c>
      <c r="E49" s="2">
        <v>0.4</v>
      </c>
      <c r="F49" s="30">
        <f t="shared" si="6"/>
        <v>0.15</v>
      </c>
      <c r="G49" s="11">
        <f t="shared" si="8"/>
        <v>1.5</v>
      </c>
      <c r="H49" s="15">
        <f t="shared" si="7"/>
        <v>36.886806537950179</v>
      </c>
      <c r="I49" s="15"/>
      <c r="J49" s="16"/>
      <c r="W49" s="5">
        <f t="shared" si="5"/>
        <v>4.3500000000000032E-2</v>
      </c>
      <c r="X49">
        <f t="shared" si="4"/>
        <v>12832.500000000009</v>
      </c>
      <c r="Y49" s="4">
        <f ca="1"/>
        <v>1.4E-3</v>
      </c>
      <c r="Z49" s="4">
        <v>1.6192438627615721E-3</v>
      </c>
      <c r="AA49" s="13">
        <v>63.557862304151058</v>
      </c>
      <c r="AF49" s="1"/>
      <c r="AG49" s="2"/>
    </row>
    <row r="50" spans="2:33">
      <c r="B50">
        <v>2</v>
      </c>
      <c r="C50">
        <v>2500</v>
      </c>
      <c r="D50" s="5">
        <v>1E-3</v>
      </c>
      <c r="E50" s="2">
        <v>0.4</v>
      </c>
      <c r="F50" s="30">
        <f t="shared" si="6"/>
        <v>0.15</v>
      </c>
      <c r="G50" s="11">
        <f t="shared" si="8"/>
        <v>1.5</v>
      </c>
      <c r="H50" s="15">
        <f t="shared" si="7"/>
        <v>36.886806537950179</v>
      </c>
      <c r="I50" s="15"/>
      <c r="J50" s="16"/>
      <c r="W50" s="5">
        <f t="shared" si="5"/>
        <v>4.4500000000000033E-2</v>
      </c>
      <c r="X50">
        <f t="shared" si="4"/>
        <v>13127.500000000009</v>
      </c>
      <c r="Y50" s="4">
        <f ca="1"/>
        <v>1.4E-3</v>
      </c>
      <c r="Z50" s="4">
        <v>1.4514491089090799E-3</v>
      </c>
      <c r="AA50" s="13">
        <v>63.557862304151058</v>
      </c>
      <c r="AF50" s="1"/>
      <c r="AG50" s="2"/>
    </row>
    <row r="51" spans="2:33">
      <c r="B51">
        <v>2</v>
      </c>
      <c r="C51">
        <v>2500</v>
      </c>
      <c r="D51" s="5">
        <v>1E-3</v>
      </c>
      <c r="E51" s="2">
        <v>0.4</v>
      </c>
      <c r="F51" s="30">
        <f t="shared" si="6"/>
        <v>0.15</v>
      </c>
      <c r="G51" s="11">
        <f t="shared" si="8"/>
        <v>1.5</v>
      </c>
      <c r="H51" s="15">
        <f t="shared" si="7"/>
        <v>36.886806537950179</v>
      </c>
      <c r="I51" s="15"/>
      <c r="J51" s="16"/>
      <c r="W51" s="5">
        <f t="shared" si="5"/>
        <v>4.5500000000000033E-2</v>
      </c>
      <c r="X51">
        <f t="shared" si="4"/>
        <v>13422.500000000009</v>
      </c>
      <c r="Y51" s="4">
        <f ca="1"/>
        <v>1.1000000000000001E-3</v>
      </c>
      <c r="Z51" s="4">
        <v>1.3048309064551727E-3</v>
      </c>
      <c r="AA51" s="13">
        <v>63.557862304151058</v>
      </c>
      <c r="AF51" s="1"/>
      <c r="AG51" s="2"/>
    </row>
    <row r="52" spans="2:33">
      <c r="B52">
        <v>2</v>
      </c>
      <c r="C52">
        <v>2500</v>
      </c>
      <c r="D52" s="5">
        <v>1E-3</v>
      </c>
      <c r="E52" s="2">
        <v>0.4</v>
      </c>
      <c r="F52" s="30">
        <f t="shared" si="6"/>
        <v>0.15</v>
      </c>
      <c r="G52" s="11">
        <f t="shared" si="8"/>
        <v>1.5</v>
      </c>
      <c r="H52" s="15">
        <f t="shared" si="7"/>
        <v>36.886806537950179</v>
      </c>
      <c r="I52" s="15"/>
      <c r="J52" s="16"/>
      <c r="W52" s="5">
        <f t="shared" si="5"/>
        <v>4.6500000000000034E-2</v>
      </c>
      <c r="X52">
        <f t="shared" si="4"/>
        <v>13717.500000000011</v>
      </c>
      <c r="Y52" s="4">
        <f ca="1"/>
        <v>1E-3</v>
      </c>
      <c r="Z52" s="4">
        <v>1.1759577814409042E-3</v>
      </c>
      <c r="AA52" s="13">
        <v>63.557862304151058</v>
      </c>
      <c r="AF52" s="1"/>
      <c r="AG52" s="2"/>
    </row>
    <row r="53" spans="2:33">
      <c r="B53">
        <v>2</v>
      </c>
      <c r="C53">
        <v>2500</v>
      </c>
      <c r="D53" s="5">
        <v>1E-3</v>
      </c>
      <c r="E53" s="2">
        <v>0.4</v>
      </c>
      <c r="F53" s="30">
        <f t="shared" si="6"/>
        <v>0.15</v>
      </c>
      <c r="G53" s="11">
        <f t="shared" si="8"/>
        <v>1.5</v>
      </c>
      <c r="H53" s="15">
        <f t="shared" si="7"/>
        <v>36.886806537950179</v>
      </c>
      <c r="I53" s="15"/>
      <c r="J53" s="16"/>
      <c r="W53" s="5">
        <f t="shared" si="5"/>
        <v>4.7500000000000035E-2</v>
      </c>
      <c r="X53">
        <f t="shared" si="4"/>
        <v>14012.500000000011</v>
      </c>
      <c r="Y53" s="4">
        <f ca="1"/>
        <v>8.0000000000000004E-4</v>
      </c>
      <c r="Z53" s="4">
        <v>1.06186926139099E-3</v>
      </c>
      <c r="AA53" s="13">
        <v>63.557862304151058</v>
      </c>
      <c r="AF53" s="1"/>
      <c r="AG53" s="2"/>
    </row>
    <row r="54" spans="2:33">
      <c r="B54">
        <v>2</v>
      </c>
      <c r="C54">
        <v>2500</v>
      </c>
      <c r="D54" s="5">
        <v>1E-3</v>
      </c>
      <c r="E54" s="2">
        <v>0.4</v>
      </c>
      <c r="F54" s="30">
        <f t="shared" si="6"/>
        <v>0.15</v>
      </c>
      <c r="G54" s="11">
        <f t="shared" si="8"/>
        <v>1.5</v>
      </c>
      <c r="H54" s="15">
        <f t="shared" si="7"/>
        <v>36.886806537950179</v>
      </c>
      <c r="I54" s="15"/>
      <c r="J54" s="16"/>
      <c r="W54" s="5">
        <f t="shared" si="5"/>
        <v>4.8500000000000036E-2</v>
      </c>
      <c r="X54">
        <f t="shared" si="4"/>
        <v>14307.500000000011</v>
      </c>
      <c r="Y54" s="4">
        <f ca="1"/>
        <v>5.0000000000000001E-4</v>
      </c>
      <c r="Z54" s="4">
        <v>9.6008537805795208E-4</v>
      </c>
      <c r="AA54" s="13">
        <v>63.557862304151058</v>
      </c>
      <c r="AF54" s="1"/>
      <c r="AG54" s="2"/>
    </row>
    <row r="55" spans="2:33">
      <c r="B55">
        <v>2</v>
      </c>
      <c r="C55">
        <v>2500</v>
      </c>
      <c r="D55" s="5">
        <v>1E-3</v>
      </c>
      <c r="E55" s="2">
        <v>0.4</v>
      </c>
      <c r="F55" s="30">
        <f t="shared" si="6"/>
        <v>0.15</v>
      </c>
      <c r="G55" s="11">
        <f t="shared" si="8"/>
        <v>1.5</v>
      </c>
      <c r="H55" s="15">
        <f t="shared" si="7"/>
        <v>36.886806537950179</v>
      </c>
      <c r="I55" s="15"/>
      <c r="J55" s="16"/>
      <c r="W55" s="5">
        <f t="shared" si="5"/>
        <v>4.9500000000000037E-2</v>
      </c>
      <c r="X55">
        <f t="shared" si="4"/>
        <v>14602.500000000011</v>
      </c>
      <c r="Y55" s="4">
        <f ca="1"/>
        <v>2.9999999999999997E-4</v>
      </c>
      <c r="Z55" s="4">
        <v>8.685885882588288E-4</v>
      </c>
      <c r="AA55" s="13">
        <v>63.557862304151058</v>
      </c>
      <c r="AF55" s="1"/>
      <c r="AG55" s="2"/>
    </row>
    <row r="56" spans="2:33">
      <c r="B56">
        <v>2</v>
      </c>
      <c r="C56">
        <v>2500</v>
      </c>
      <c r="D56" s="5">
        <v>1E-3</v>
      </c>
      <c r="E56" s="2">
        <v>0.4</v>
      </c>
      <c r="F56" s="30">
        <f t="shared" si="6"/>
        <v>0.15</v>
      </c>
      <c r="G56" s="11">
        <f t="shared" si="8"/>
        <v>1.5</v>
      </c>
      <c r="H56" s="15">
        <f t="shared" si="7"/>
        <v>36.886806537950179</v>
      </c>
      <c r="I56" s="15"/>
      <c r="J56" s="16"/>
      <c r="W56" s="5">
        <f t="shared" si="5"/>
        <v>5.0500000000000038E-2</v>
      </c>
      <c r="X56">
        <f t="shared" si="4"/>
        <v>14897.500000000011</v>
      </c>
      <c r="Y56" s="4">
        <f ca="1"/>
        <v>2.9999999999999997E-4</v>
      </c>
      <c r="Z56" s="4">
        <v>7.8578258822142616E-4</v>
      </c>
      <c r="AA56" s="13">
        <v>63.557862304151058</v>
      </c>
      <c r="AF56" s="1"/>
      <c r="AG56" s="2"/>
    </row>
    <row r="57" spans="2:33">
      <c r="B57">
        <v>2</v>
      </c>
      <c r="C57">
        <v>2500</v>
      </c>
      <c r="D57" s="5">
        <v>1E-3</v>
      </c>
      <c r="E57" s="2">
        <v>0.4</v>
      </c>
      <c r="F57" s="30">
        <f t="shared" si="6"/>
        <v>0.15</v>
      </c>
      <c r="G57" s="11">
        <f t="shared" si="8"/>
        <v>1.5</v>
      </c>
      <c r="H57" s="15">
        <f t="shared" si="7"/>
        <v>36.886806537950179</v>
      </c>
      <c r="I57" s="15"/>
      <c r="J57" s="16"/>
      <c r="W57" s="5">
        <f t="shared" si="5"/>
        <v>5.1500000000000039E-2</v>
      </c>
      <c r="X57">
        <f t="shared" si="4"/>
        <v>15192.500000000011</v>
      </c>
      <c r="Y57" s="4">
        <f ca="1"/>
        <v>2.9999999999999997E-4</v>
      </c>
      <c r="Z57" s="4">
        <v>7.1043650034938719E-4</v>
      </c>
      <c r="AA57" s="13">
        <v>63.557862304151058</v>
      </c>
      <c r="AF57" s="1"/>
      <c r="AG57" s="2"/>
    </row>
    <row r="58" spans="2:33">
      <c r="B58">
        <v>2</v>
      </c>
      <c r="C58">
        <v>2500</v>
      </c>
      <c r="D58" s="5">
        <v>1E-3</v>
      </c>
      <c r="E58" s="2">
        <v>0.4</v>
      </c>
      <c r="F58" s="30">
        <f t="shared" si="6"/>
        <v>0.15</v>
      </c>
      <c r="G58" s="11">
        <f t="shared" si="8"/>
        <v>1.5</v>
      </c>
      <c r="H58" s="15">
        <f t="shared" si="7"/>
        <v>36.886806537950179</v>
      </c>
      <c r="I58" s="15"/>
      <c r="J58" s="16"/>
      <c r="W58" s="5">
        <f t="shared" si="5"/>
        <v>5.250000000000004E-2</v>
      </c>
      <c r="X58">
        <f t="shared" si="4"/>
        <v>15487.500000000011</v>
      </c>
      <c r="Y58" s="4">
        <f ca="1"/>
        <v>2.0000000000000001E-4</v>
      </c>
      <c r="Z58" s="4">
        <v>6.416220301262381E-4</v>
      </c>
      <c r="AA58" s="13">
        <v>63.557862304151058</v>
      </c>
      <c r="AF58" s="1"/>
      <c r="AG58" s="2"/>
    </row>
    <row r="59" spans="2:33">
      <c r="B59">
        <v>2</v>
      </c>
      <c r="C59">
        <v>2500</v>
      </c>
      <c r="D59" s="5">
        <v>1E-3</v>
      </c>
      <c r="E59" s="2">
        <v>0.4</v>
      </c>
      <c r="F59" s="30">
        <f t="shared" si="6"/>
        <v>0.15</v>
      </c>
      <c r="G59" s="11">
        <f t="shared" si="8"/>
        <v>1.5</v>
      </c>
      <c r="H59" s="15">
        <f t="shared" si="7"/>
        <v>36.886806537950179</v>
      </c>
      <c r="I59" s="15"/>
      <c r="J59" s="16"/>
      <c r="W59" s="5">
        <f t="shared" si="5"/>
        <v>5.3500000000000041E-2</v>
      </c>
      <c r="X59">
        <f t="shared" si="4"/>
        <v>15782.500000000013</v>
      </c>
      <c r="Y59" s="4">
        <f ca="1"/>
        <v>1E-4</v>
      </c>
      <c r="Z59" s="4">
        <v>5.7864971152432436E-4</v>
      </c>
      <c r="AA59" s="13">
        <v>63.557862304151058</v>
      </c>
      <c r="AF59" s="1"/>
      <c r="AG59" s="2"/>
    </row>
    <row r="60" spans="2:33">
      <c r="B60">
        <v>2</v>
      </c>
      <c r="C60">
        <v>2500</v>
      </c>
      <c r="D60" s="5">
        <v>1E-3</v>
      </c>
      <c r="E60" s="2">
        <v>0.4</v>
      </c>
      <c r="F60" s="30">
        <f t="shared" si="6"/>
        <v>0.15</v>
      </c>
      <c r="G60" s="11">
        <f t="shared" si="8"/>
        <v>1.5</v>
      </c>
      <c r="H60" s="15">
        <f t="shared" si="7"/>
        <v>36.886806537950179</v>
      </c>
      <c r="I60" s="15"/>
      <c r="J60" s="16"/>
      <c r="W60" s="5">
        <f t="shared" si="5"/>
        <v>5.4500000000000041E-2</v>
      </c>
      <c r="X60">
        <f t="shared" si="4"/>
        <v>16077.500000000013</v>
      </c>
      <c r="Y60" s="4">
        <f ca="1"/>
        <v>0</v>
      </c>
      <c r="Z60" s="4">
        <v>5.2100895044258997E-4</v>
      </c>
      <c r="AA60" s="13">
        <v>63.557862304151058</v>
      </c>
      <c r="AF60" s="1"/>
      <c r="AG60" s="2"/>
    </row>
    <row r="61" spans="2:33">
      <c r="B61">
        <v>2</v>
      </c>
      <c r="C61">
        <v>2500</v>
      </c>
      <c r="D61" s="5">
        <v>1E-3</v>
      </c>
      <c r="E61" s="2">
        <v>0.4</v>
      </c>
      <c r="F61" s="30">
        <f t="shared" si="6"/>
        <v>0.15</v>
      </c>
      <c r="G61" s="11">
        <f t="shared" si="8"/>
        <v>1.5</v>
      </c>
      <c r="H61" s="15">
        <f t="shared" si="7"/>
        <v>36.886806537950179</v>
      </c>
      <c r="I61" s="15"/>
      <c r="J61" s="16"/>
      <c r="W61" s="5">
        <f t="shared" si="5"/>
        <v>5.5500000000000042E-2</v>
      </c>
      <c r="X61">
        <f t="shared" si="4"/>
        <v>16372.500000000013</v>
      </c>
      <c r="Y61" s="4">
        <f ca="1"/>
        <v>0</v>
      </c>
      <c r="Z61" s="4">
        <v>4.6831506571427296E-4</v>
      </c>
      <c r="AA61" s="13">
        <v>63.557862304151058</v>
      </c>
      <c r="AF61" s="1"/>
      <c r="AG61" s="2"/>
    </row>
    <row r="62" spans="2:33">
      <c r="B62">
        <v>2</v>
      </c>
      <c r="C62">
        <v>2500</v>
      </c>
      <c r="D62" s="5">
        <v>1E-3</v>
      </c>
      <c r="E62" s="2">
        <v>0.4</v>
      </c>
      <c r="F62" s="30">
        <f t="shared" si="6"/>
        <v>0.15</v>
      </c>
      <c r="G62" s="11">
        <f t="shared" si="8"/>
        <v>1.5</v>
      </c>
      <c r="H62" s="15">
        <f t="shared" si="7"/>
        <v>36.886806537950179</v>
      </c>
      <c r="I62" s="15"/>
      <c r="J62" s="16"/>
      <c r="W62" s="5">
        <f t="shared" si="5"/>
        <v>5.6500000000000043E-2</v>
      </c>
      <c r="X62">
        <f t="shared" si="4"/>
        <v>16667.500000000015</v>
      </c>
      <c r="Y62" s="4">
        <f ca="1"/>
        <v>0</v>
      </c>
      <c r="Z62" s="4">
        <v>4.202651271778027E-4</v>
      </c>
      <c r="AA62" s="13">
        <v>63.557862304151058</v>
      </c>
      <c r="AF62" s="1"/>
      <c r="AG62" s="2"/>
    </row>
    <row r="63" spans="2:33">
      <c r="B63">
        <v>2</v>
      </c>
      <c r="C63">
        <v>2500</v>
      </c>
      <c r="D63" s="5">
        <v>1E-3</v>
      </c>
      <c r="E63" s="2">
        <v>0.4</v>
      </c>
      <c r="F63" s="30">
        <f t="shared" si="6"/>
        <v>0.15</v>
      </c>
      <c r="G63" s="11">
        <f t="shared" si="8"/>
        <v>1.5</v>
      </c>
      <c r="H63" s="15">
        <f t="shared" si="7"/>
        <v>36.886806537950179</v>
      </c>
      <c r="I63" s="15"/>
      <c r="J63" s="16"/>
      <c r="W63" s="5">
        <f t="shared" si="5"/>
        <v>5.7500000000000044E-2</v>
      </c>
      <c r="X63">
        <f t="shared" si="4"/>
        <v>16962.500000000015</v>
      </c>
      <c r="Y63" s="4">
        <f ca="1"/>
        <v>0</v>
      </c>
      <c r="Z63" s="4">
        <v>3.7660321846627538E-4</v>
      </c>
      <c r="AA63" s="13">
        <v>63.557862304151058</v>
      </c>
      <c r="AF63" s="1"/>
      <c r="AG63" s="2"/>
    </row>
    <row r="64" spans="2:33">
      <c r="B64">
        <v>2</v>
      </c>
      <c r="C64">
        <v>2500</v>
      </c>
      <c r="D64" s="5">
        <v>1E-3</v>
      </c>
      <c r="E64" s="2">
        <v>0.4</v>
      </c>
      <c r="F64" s="30">
        <f t="shared" si="6"/>
        <v>0.15</v>
      </c>
      <c r="G64" s="11">
        <f t="shared" si="8"/>
        <v>1.5</v>
      </c>
      <c r="H64" s="15">
        <f t="shared" si="7"/>
        <v>36.886806537950179</v>
      </c>
      <c r="I64" s="15"/>
      <c r="J64" s="16"/>
      <c r="W64" s="5">
        <f t="shared" si="5"/>
        <v>5.8500000000000045E-2</v>
      </c>
      <c r="X64">
        <f t="shared" si="4"/>
        <v>17257.500000000015</v>
      </c>
      <c r="Y64" s="8">
        <f ca="1"/>
        <v>0</v>
      </c>
      <c r="Z64" s="8">
        <v>3.3709485825199483E-4</v>
      </c>
      <c r="AA64" s="13">
        <v>63.557862304151058</v>
      </c>
      <c r="AF64" s="1"/>
      <c r="AG64" s="2"/>
    </row>
    <row r="65" spans="2:33">
      <c r="B65">
        <v>3</v>
      </c>
      <c r="C65">
        <v>2500</v>
      </c>
      <c r="D65" s="5">
        <v>2E-3</v>
      </c>
      <c r="E65" s="2">
        <v>0.4</v>
      </c>
      <c r="F65" s="30">
        <f t="shared" si="6"/>
        <v>0.15</v>
      </c>
      <c r="G65" s="11">
        <f t="shared" si="8"/>
        <v>3</v>
      </c>
      <c r="H65" s="15">
        <f t="shared" si="7"/>
        <v>63.557862304151058</v>
      </c>
      <c r="I65" s="15"/>
      <c r="J65" s="16"/>
      <c r="W65" s="5">
        <f t="shared" si="5"/>
        <v>5.9500000000000046E-2</v>
      </c>
      <c r="X65">
        <f t="shared" si="4"/>
        <v>17552.500000000015</v>
      </c>
      <c r="Y65" s="8">
        <f ca="1"/>
        <v>0</v>
      </c>
      <c r="Z65" s="8">
        <v>3.0150969928760112E-4</v>
      </c>
      <c r="AA65" s="13">
        <v>63.557862304151058</v>
      </c>
      <c r="AF65" s="1"/>
      <c r="AG65" s="2"/>
    </row>
    <row r="66" spans="2:33">
      <c r="B66">
        <v>3</v>
      </c>
      <c r="C66">
        <v>2500</v>
      </c>
      <c r="D66" s="5">
        <v>2E-3</v>
      </c>
      <c r="E66" s="2">
        <v>0.4</v>
      </c>
      <c r="F66" s="30">
        <f t="shared" si="6"/>
        <v>0.15</v>
      </c>
      <c r="G66" s="11">
        <f t="shared" si="8"/>
        <v>3</v>
      </c>
      <c r="H66" s="15">
        <f t="shared" si="7"/>
        <v>63.557862304151058</v>
      </c>
      <c r="I66" s="15"/>
      <c r="J66" s="16"/>
      <c r="W66" s="5">
        <f t="shared" si="5"/>
        <v>6.0500000000000047E-2</v>
      </c>
      <c r="X66">
        <f t="shared" si="4"/>
        <v>17847.500000000015</v>
      </c>
      <c r="Y66" s="8">
        <f ca="1"/>
        <v>0</v>
      </c>
      <c r="Z66" s="8">
        <v>2.6961126078823097E-4</v>
      </c>
      <c r="AA66" s="13">
        <v>63.557862304151058</v>
      </c>
      <c r="AF66" s="1"/>
      <c r="AG66" s="2"/>
    </row>
    <row r="67" spans="2:33">
      <c r="B67">
        <v>3</v>
      </c>
      <c r="C67">
        <v>2500</v>
      </c>
      <c r="D67" s="5">
        <v>2E-3</v>
      </c>
      <c r="E67" s="2">
        <v>0.4</v>
      </c>
      <c r="F67" s="30">
        <f t="shared" si="6"/>
        <v>0.15</v>
      </c>
      <c r="G67" s="11">
        <f t="shared" si="8"/>
        <v>3</v>
      </c>
      <c r="H67" s="15">
        <f t="shared" si="7"/>
        <v>63.557862304151058</v>
      </c>
      <c r="I67" s="15"/>
      <c r="J67" s="16"/>
      <c r="W67" s="5">
        <f t="shared" si="5"/>
        <v>6.1500000000000048E-2</v>
      </c>
      <c r="X67">
        <f t="shared" si="4"/>
        <v>18142.500000000015</v>
      </c>
      <c r="Y67" s="8">
        <f ca="1"/>
        <v>0</v>
      </c>
      <c r="Z67" s="8">
        <v>2.4115229143466377E-4</v>
      </c>
      <c r="AA67" s="13">
        <v>63.557862304151058</v>
      </c>
      <c r="AF67" s="1"/>
      <c r="AG67" s="2"/>
    </row>
    <row r="68" spans="2:33">
      <c r="B68">
        <v>3</v>
      </c>
      <c r="C68">
        <v>2500</v>
      </c>
      <c r="D68" s="5">
        <v>2E-3</v>
      </c>
      <c r="E68" s="2">
        <v>0.4</v>
      </c>
      <c r="F68" s="30">
        <f t="shared" si="6"/>
        <v>0.15</v>
      </c>
      <c r="G68" s="11">
        <f t="shared" si="8"/>
        <v>3</v>
      </c>
      <c r="H68" s="15">
        <f t="shared" si="7"/>
        <v>63.557862304151058</v>
      </c>
      <c r="I68" s="15"/>
      <c r="J68" s="16"/>
      <c r="W68" s="5">
        <f t="shared" si="5"/>
        <v>6.2500000000000042E-2</v>
      </c>
      <c r="X68">
        <f t="shared" si="4"/>
        <v>18437.500000000011</v>
      </c>
      <c r="Y68" s="4">
        <f ca="1"/>
        <v>0</v>
      </c>
      <c r="Z68" s="4">
        <v>2.1587435722245321E-4</v>
      </c>
      <c r="AA68" s="13">
        <v>63.557862304151058</v>
      </c>
      <c r="AF68" s="1"/>
      <c r="AG68" s="2"/>
    </row>
    <row r="69" spans="2:33">
      <c r="B69">
        <v>3</v>
      </c>
      <c r="C69">
        <v>2500</v>
      </c>
      <c r="D69" s="5">
        <v>2E-3</v>
      </c>
      <c r="E69" s="2">
        <v>0.4</v>
      </c>
      <c r="F69" s="30">
        <f t="shared" si="6"/>
        <v>0.15</v>
      </c>
      <c r="G69" s="11">
        <f t="shared" si="8"/>
        <v>3</v>
      </c>
      <c r="H69" s="15">
        <f t="shared" si="7"/>
        <v>63.557862304151058</v>
      </c>
      <c r="I69" s="15"/>
      <c r="J69" s="16"/>
      <c r="W69" s="5">
        <f t="shared" si="5"/>
        <v>6.3500000000000043E-2</v>
      </c>
      <c r="X69">
        <f t="shared" ref="X69:X132" si="9">W69*$C$21</f>
        <v>18732.500000000011</v>
      </c>
      <c r="Y69" s="4">
        <f ca="1"/>
        <v>0</v>
      </c>
      <c r="Z69" s="4">
        <v>1.9351035235291132E-4</v>
      </c>
      <c r="AA69" s="13">
        <v>63.557862304151058</v>
      </c>
      <c r="AF69" s="1"/>
      <c r="AG69" s="2"/>
    </row>
    <row r="70" spans="2:33">
      <c r="B70">
        <v>3</v>
      </c>
      <c r="C70">
        <v>2500</v>
      </c>
      <c r="D70" s="5">
        <v>2E-3</v>
      </c>
      <c r="E70" s="2">
        <v>0.4</v>
      </c>
      <c r="F70" s="30">
        <f t="shared" si="6"/>
        <v>0.15</v>
      </c>
      <c r="G70" s="11">
        <f t="shared" si="8"/>
        <v>3</v>
      </c>
      <c r="H70" s="15">
        <f t="shared" si="7"/>
        <v>63.557862304151058</v>
      </c>
      <c r="I70" s="15"/>
      <c r="J70" s="16"/>
      <c r="W70" s="5">
        <f t="shared" si="5"/>
        <v>6.4500000000000043E-2</v>
      </c>
      <c r="X70">
        <f t="shared" si="9"/>
        <v>19027.500000000015</v>
      </c>
      <c r="Y70" s="4">
        <f ca="1"/>
        <v>0</v>
      </c>
      <c r="Z70" s="4">
        <v>1.7378880063014909E-4</v>
      </c>
      <c r="AA70" s="13">
        <v>63.557862304151058</v>
      </c>
      <c r="AF70" s="1"/>
      <c r="AG70" s="2"/>
    </row>
    <row r="71" spans="2:33">
      <c r="B71">
        <v>3</v>
      </c>
      <c r="C71">
        <v>2500</v>
      </c>
      <c r="D71" s="5">
        <v>2E-3</v>
      </c>
      <c r="E71" s="2">
        <v>0.4</v>
      </c>
      <c r="F71" s="30">
        <f t="shared" si="6"/>
        <v>0.15</v>
      </c>
      <c r="G71" s="11">
        <f t="shared" si="8"/>
        <v>3</v>
      </c>
      <c r="H71" s="15">
        <f t="shared" si="7"/>
        <v>63.557862304151058</v>
      </c>
      <c r="I71" s="15"/>
      <c r="J71" s="16"/>
      <c r="W71" s="5">
        <f t="shared" ref="W71:W134" si="10">W70+1/$C$18</f>
        <v>6.5500000000000044E-2</v>
      </c>
      <c r="X71">
        <f t="shared" si="9"/>
        <v>19322.500000000015</v>
      </c>
      <c r="Y71" s="4">
        <f ca="1"/>
        <v>0</v>
      </c>
      <c r="Z71" s="4">
        <v>1.5643901600605415E-4</v>
      </c>
      <c r="AA71" s="13">
        <v>167.20198767870897</v>
      </c>
      <c r="AF71" s="1"/>
      <c r="AG71" s="2"/>
    </row>
    <row r="72" spans="2:33">
      <c r="B72">
        <v>3</v>
      </c>
      <c r="C72">
        <v>2500</v>
      </c>
      <c r="D72" s="5">
        <v>2E-3</v>
      </c>
      <c r="E72" s="2">
        <v>0.4</v>
      </c>
      <c r="F72" s="30">
        <f t="shared" ref="F72:F103" si="11">$C$16</f>
        <v>0.15</v>
      </c>
      <c r="G72" s="11">
        <f t="shared" si="8"/>
        <v>3</v>
      </c>
      <c r="H72" s="15">
        <f t="shared" ref="H72:H103" si="12">AA38</f>
        <v>63.557862304151058</v>
      </c>
      <c r="I72" s="15"/>
      <c r="J72" s="16"/>
      <c r="W72" s="5">
        <f t="shared" si="10"/>
        <v>6.6500000000000045E-2</v>
      </c>
      <c r="X72">
        <f t="shared" si="9"/>
        <v>19617.500000000015</v>
      </c>
      <c r="Y72" s="4">
        <f ca="1"/>
        <v>0</v>
      </c>
      <c r="Z72" s="4">
        <v>1.4119639913879467E-4</v>
      </c>
      <c r="AA72" s="13">
        <v>167.20198767870897</v>
      </c>
      <c r="AF72" s="1"/>
      <c r="AG72" s="2"/>
    </row>
    <row r="73" spans="2:33">
      <c r="B73">
        <v>3</v>
      </c>
      <c r="C73">
        <v>2500</v>
      </c>
      <c r="D73" s="5">
        <v>2E-3</v>
      </c>
      <c r="E73" s="2">
        <v>0.4</v>
      </c>
      <c r="F73" s="30">
        <f t="shared" si="11"/>
        <v>0.15</v>
      </c>
      <c r="G73" s="11">
        <f t="shared" si="8"/>
        <v>3</v>
      </c>
      <c r="H73" s="15">
        <f t="shared" si="12"/>
        <v>63.557862304151058</v>
      </c>
      <c r="I73" s="15"/>
      <c r="J73" s="16"/>
      <c r="W73" s="5">
        <f t="shared" si="10"/>
        <v>6.7500000000000046E-2</v>
      </c>
      <c r="X73">
        <f t="shared" si="9"/>
        <v>19912.500000000015</v>
      </c>
      <c r="Y73" s="4">
        <f ca="1"/>
        <v>0</v>
      </c>
      <c r="Z73" s="4">
        <v>1.2780734492223969E-4</v>
      </c>
      <c r="AA73" s="13">
        <v>167.20198767870897</v>
      </c>
      <c r="AF73" s="1"/>
      <c r="AG73" s="2"/>
    </row>
    <row r="74" spans="2:33">
      <c r="B74">
        <v>3</v>
      </c>
      <c r="C74">
        <v>2500</v>
      </c>
      <c r="D74" s="5">
        <v>2E-3</v>
      </c>
      <c r="E74" s="2">
        <v>0.4</v>
      </c>
      <c r="F74" s="30">
        <f t="shared" si="11"/>
        <v>0.15</v>
      </c>
      <c r="G74" s="11">
        <f t="shared" si="8"/>
        <v>3</v>
      </c>
      <c r="H74" s="15">
        <f t="shared" si="12"/>
        <v>63.557862304151058</v>
      </c>
      <c r="I74" s="15"/>
      <c r="J74" s="16"/>
      <c r="W74" s="5">
        <f t="shared" si="10"/>
        <v>6.8500000000000047E-2</v>
      </c>
      <c r="X74">
        <f t="shared" si="9"/>
        <v>20207.500000000015</v>
      </c>
      <c r="Y74" s="4">
        <f ca="1"/>
        <v>0</v>
      </c>
      <c r="Z74" s="4">
        <v>1.160334130856611E-4</v>
      </c>
      <c r="AA74" s="13">
        <v>167.20198767870897</v>
      </c>
      <c r="AF74" s="1"/>
      <c r="AG74" s="2"/>
    </row>
    <row r="75" spans="2:33">
      <c r="B75">
        <v>3</v>
      </c>
      <c r="C75">
        <v>2500</v>
      </c>
      <c r="D75" s="5">
        <v>2E-3</v>
      </c>
      <c r="E75" s="2">
        <v>0.4</v>
      </c>
      <c r="F75" s="30">
        <f t="shared" si="11"/>
        <v>0.15</v>
      </c>
      <c r="G75" s="11">
        <f t="shared" si="8"/>
        <v>3</v>
      </c>
      <c r="H75" s="15">
        <f t="shared" si="12"/>
        <v>63.557862304151058</v>
      </c>
      <c r="I75" s="15"/>
      <c r="J75" s="16"/>
      <c r="W75" s="5">
        <f t="shared" si="10"/>
        <v>6.9500000000000048E-2</v>
      </c>
      <c r="X75">
        <f t="shared" si="9"/>
        <v>20502.500000000015</v>
      </c>
      <c r="Y75" s="4">
        <f ca="1"/>
        <v>0</v>
      </c>
      <c r="Z75" s="4">
        <v>1.0565456425708202E-4</v>
      </c>
      <c r="AA75" s="13">
        <v>167.20198767870897</v>
      </c>
      <c r="AF75" s="1"/>
      <c r="AG75" s="2"/>
    </row>
    <row r="76" spans="2:33">
      <c r="B76">
        <v>3</v>
      </c>
      <c r="C76">
        <v>2500</v>
      </c>
      <c r="D76" s="5">
        <v>2E-3</v>
      </c>
      <c r="E76" s="2">
        <v>0.4</v>
      </c>
      <c r="F76" s="30">
        <f t="shared" si="11"/>
        <v>0.15</v>
      </c>
      <c r="G76" s="11">
        <f t="shared" si="8"/>
        <v>3</v>
      </c>
      <c r="H76" s="15">
        <f t="shared" si="12"/>
        <v>63.557862304151058</v>
      </c>
      <c r="I76" s="15"/>
      <c r="J76" s="16"/>
      <c r="W76" s="5">
        <f t="shared" si="10"/>
        <v>7.0500000000000049E-2</v>
      </c>
      <c r="X76">
        <f t="shared" si="9"/>
        <v>20797.500000000015</v>
      </c>
      <c r="Y76" s="4">
        <f ca="1"/>
        <v>0</v>
      </c>
      <c r="Z76" s="4">
        <v>9.6471385008095234E-5</v>
      </c>
      <c r="AA76" s="13">
        <v>167.20198767870897</v>
      </c>
      <c r="AF76" s="1"/>
      <c r="AG76" s="2"/>
    </row>
    <row r="77" spans="2:33">
      <c r="B77">
        <v>3</v>
      </c>
      <c r="C77">
        <v>2500</v>
      </c>
      <c r="D77" s="5">
        <v>2E-3</v>
      </c>
      <c r="E77" s="2">
        <v>0.4</v>
      </c>
      <c r="F77" s="30">
        <f t="shared" si="11"/>
        <v>0.15</v>
      </c>
      <c r="G77" s="11">
        <f t="shared" si="8"/>
        <v>3</v>
      </c>
      <c r="H77" s="15">
        <f t="shared" si="12"/>
        <v>63.557862304151058</v>
      </c>
      <c r="I77" s="15"/>
      <c r="J77" s="16"/>
      <c r="W77" s="5">
        <f t="shared" si="10"/>
        <v>7.150000000000005E-2</v>
      </c>
      <c r="X77">
        <f t="shared" si="9"/>
        <v>21092.500000000015</v>
      </c>
      <c r="Y77" s="4">
        <f ca="1"/>
        <v>0</v>
      </c>
      <c r="Z77" s="4">
        <v>8.8306317445024888E-5</v>
      </c>
      <c r="AA77" s="13">
        <v>167.20198767870897</v>
      </c>
      <c r="AF77" s="1"/>
      <c r="AG77" s="2"/>
    </row>
    <row r="78" spans="2:33">
      <c r="B78">
        <v>3</v>
      </c>
      <c r="C78">
        <v>2500</v>
      </c>
      <c r="D78" s="5">
        <v>2E-3</v>
      </c>
      <c r="E78" s="2">
        <v>0.4</v>
      </c>
      <c r="F78" s="30">
        <f t="shared" si="11"/>
        <v>0.15</v>
      </c>
      <c r="G78" s="11">
        <f t="shared" si="8"/>
        <v>3</v>
      </c>
      <c r="H78" s="15">
        <f t="shared" si="12"/>
        <v>63.557862304151058</v>
      </c>
      <c r="I78" s="15"/>
      <c r="J78" s="16"/>
      <c r="W78" s="5">
        <f t="shared" si="10"/>
        <v>7.2500000000000051E-2</v>
      </c>
      <c r="X78">
        <f t="shared" si="9"/>
        <v>21387.500000000015</v>
      </c>
      <c r="Y78" s="4">
        <f ca="1"/>
        <v>0</v>
      </c>
      <c r="Z78" s="4">
        <v>8.100397339118452E-5</v>
      </c>
      <c r="AA78" s="13">
        <v>167.20198767870897</v>
      </c>
      <c r="AF78" s="1"/>
      <c r="AG78" s="2"/>
    </row>
    <row r="79" spans="2:33">
      <c r="B79">
        <v>3</v>
      </c>
      <c r="C79">
        <v>2500</v>
      </c>
      <c r="D79" s="5">
        <v>2E-3</v>
      </c>
      <c r="E79" s="2">
        <v>0.4</v>
      </c>
      <c r="F79" s="30">
        <f t="shared" si="11"/>
        <v>0.15</v>
      </c>
      <c r="G79" s="11">
        <f t="shared" si="8"/>
        <v>3</v>
      </c>
      <c r="H79" s="15">
        <f t="shared" si="12"/>
        <v>63.557862304151058</v>
      </c>
      <c r="I79" s="15"/>
      <c r="J79" s="16"/>
      <c r="W79" s="5">
        <f t="shared" si="10"/>
        <v>7.3500000000000051E-2</v>
      </c>
      <c r="X79">
        <f t="shared" si="9"/>
        <v>21682.500000000015</v>
      </c>
      <c r="Y79" s="3">
        <f ca="1"/>
        <v>0</v>
      </c>
      <c r="Z79" s="3">
        <v>7.44307034079891E-5</v>
      </c>
      <c r="AA79" s="13">
        <v>167.20198767870897</v>
      </c>
      <c r="AF79" s="1"/>
      <c r="AG79" s="2"/>
    </row>
    <row r="80" spans="2:33">
      <c r="B80">
        <v>3</v>
      </c>
      <c r="C80">
        <v>2500</v>
      </c>
      <c r="D80" s="5">
        <v>2E-3</v>
      </c>
      <c r="E80" s="2">
        <v>0.4</v>
      </c>
      <c r="F80" s="30">
        <f t="shared" si="11"/>
        <v>0.15</v>
      </c>
      <c r="G80" s="11">
        <f t="shared" si="8"/>
        <v>3</v>
      </c>
      <c r="H80" s="15">
        <f t="shared" si="12"/>
        <v>63.557862304151058</v>
      </c>
      <c r="I80" s="15"/>
      <c r="J80" s="16"/>
      <c r="W80" s="5">
        <f t="shared" si="10"/>
        <v>7.4500000000000052E-2</v>
      </c>
      <c r="X80">
        <f t="shared" si="9"/>
        <v>21977.500000000015</v>
      </c>
      <c r="Y80" s="9">
        <f ca="1"/>
        <v>0</v>
      </c>
      <c r="Z80" s="9">
        <v>6.847348663423762E-5</v>
      </c>
      <c r="AA80" s="13">
        <v>167.20198767870897</v>
      </c>
      <c r="AF80" s="1"/>
      <c r="AG80" s="2"/>
    </row>
    <row r="81" spans="2:33">
      <c r="B81">
        <v>3</v>
      </c>
      <c r="C81">
        <v>2500</v>
      </c>
      <c r="D81" s="5">
        <v>2E-3</v>
      </c>
      <c r="E81" s="2">
        <v>0.4</v>
      </c>
      <c r="F81" s="30">
        <f t="shared" si="11"/>
        <v>0.15</v>
      </c>
      <c r="G81" s="11">
        <f t="shared" si="8"/>
        <v>3</v>
      </c>
      <c r="H81" s="15">
        <f t="shared" si="12"/>
        <v>63.557862304151058</v>
      </c>
      <c r="I81" s="15"/>
      <c r="J81" s="16"/>
      <c r="W81" s="5">
        <f t="shared" si="10"/>
        <v>7.5500000000000053E-2</v>
      </c>
      <c r="X81">
        <f t="shared" si="9"/>
        <v>22272.500000000015</v>
      </c>
      <c r="Y81" s="10">
        <f ca="1"/>
        <v>0</v>
      </c>
      <c r="Z81" s="10">
        <v>6.3038335257107993E-5</v>
      </c>
      <c r="AA81" s="13">
        <v>167.20198767870897</v>
      </c>
      <c r="AF81" s="1"/>
      <c r="AG81" s="2"/>
    </row>
    <row r="82" spans="2:33">
      <c r="B82">
        <v>3</v>
      </c>
      <c r="C82">
        <v>2500</v>
      </c>
      <c r="D82" s="5">
        <v>2E-3</v>
      </c>
      <c r="E82" s="2">
        <v>0.4</v>
      </c>
      <c r="F82" s="30">
        <f t="shared" si="11"/>
        <v>0.15</v>
      </c>
      <c r="G82" s="11">
        <f t="shared" si="8"/>
        <v>3</v>
      </c>
      <c r="H82" s="15">
        <f t="shared" si="12"/>
        <v>63.557862304151058</v>
      </c>
      <c r="I82" s="15"/>
      <c r="J82" s="16"/>
      <c r="W82" s="5">
        <f t="shared" si="10"/>
        <v>7.6500000000000054E-2</v>
      </c>
      <c r="X82">
        <f t="shared" si="9"/>
        <v>22567.500000000015</v>
      </c>
      <c r="Y82" s="10">
        <f ca="1"/>
        <v>0</v>
      </c>
      <c r="Z82" s="10">
        <v>5.8048431694026016E-5</v>
      </c>
      <c r="AA82" s="13">
        <v>167.20198767870897</v>
      </c>
      <c r="AF82" s="1"/>
      <c r="AG82" s="2"/>
    </row>
    <row r="83" spans="2:33">
      <c r="B83">
        <v>3</v>
      </c>
      <c r="C83">
        <v>2500</v>
      </c>
      <c r="D83" s="5">
        <v>2E-3</v>
      </c>
      <c r="E83" s="2">
        <v>0.4</v>
      </c>
      <c r="F83" s="30">
        <f t="shared" si="11"/>
        <v>0.15</v>
      </c>
      <c r="G83" s="11">
        <f t="shared" si="8"/>
        <v>3</v>
      </c>
      <c r="H83" s="15">
        <f t="shared" si="12"/>
        <v>63.557862304151058</v>
      </c>
      <c r="I83" s="15"/>
      <c r="J83" s="16"/>
      <c r="W83" s="5">
        <f t="shared" si="10"/>
        <v>7.7500000000000055E-2</v>
      </c>
      <c r="X83">
        <f t="shared" si="9"/>
        <v>22862.500000000015</v>
      </c>
      <c r="Y83" s="10">
        <f ca="1"/>
        <v>0</v>
      </c>
      <c r="Z83" s="10">
        <v>5.3442044136258336E-5</v>
      </c>
      <c r="AA83" s="13">
        <v>167.20198767870897</v>
      </c>
      <c r="AF83" s="1"/>
      <c r="AG83" s="2"/>
    </row>
    <row r="84" spans="2:33">
      <c r="B84">
        <v>3</v>
      </c>
      <c r="C84">
        <v>2500</v>
      </c>
      <c r="D84" s="5">
        <v>2E-3</v>
      </c>
      <c r="E84" s="2">
        <v>0.4</v>
      </c>
      <c r="F84" s="30">
        <f t="shared" si="11"/>
        <v>0.15</v>
      </c>
      <c r="G84" s="11">
        <f t="shared" si="8"/>
        <v>3</v>
      </c>
      <c r="H84" s="15">
        <f t="shared" si="12"/>
        <v>63.557862304151058</v>
      </c>
      <c r="I84" s="15"/>
      <c r="J84" s="16"/>
      <c r="W84" s="5">
        <f t="shared" si="10"/>
        <v>7.8500000000000056E-2</v>
      </c>
      <c r="X84">
        <f t="shared" si="9"/>
        <v>23157.500000000018</v>
      </c>
      <c r="Y84" s="10">
        <f ca="1"/>
        <v>0</v>
      </c>
      <c r="Z84" s="10">
        <v>4.9170380158175818E-5</v>
      </c>
      <c r="AA84" s="13">
        <v>167.20198767870897</v>
      </c>
      <c r="AF84" s="1"/>
      <c r="AG84" s="2"/>
    </row>
    <row r="85" spans="2:33">
      <c r="B85">
        <v>3</v>
      </c>
      <c r="C85">
        <v>2500</v>
      </c>
      <c r="D85" s="5">
        <v>2E-3</v>
      </c>
      <c r="E85" s="2">
        <v>0.4</v>
      </c>
      <c r="F85" s="30">
        <f t="shared" si="11"/>
        <v>0.15</v>
      </c>
      <c r="G85" s="11">
        <f t="shared" si="8"/>
        <v>3</v>
      </c>
      <c r="H85" s="15">
        <f t="shared" si="12"/>
        <v>63.557862304151058</v>
      </c>
      <c r="I85" s="15"/>
      <c r="J85" s="16"/>
      <c r="W85" s="5">
        <f t="shared" si="10"/>
        <v>7.9500000000000057E-2</v>
      </c>
      <c r="X85">
        <f t="shared" si="9"/>
        <v>23452.500000000018</v>
      </c>
      <c r="Y85" s="10">
        <f ca="1"/>
        <v>0</v>
      </c>
      <c r="Z85" s="10">
        <v>4.5195477429115776E-5</v>
      </c>
      <c r="AA85" s="13">
        <v>167.20198767870897</v>
      </c>
      <c r="AF85" s="1"/>
      <c r="AG85" s="2"/>
    </row>
    <row r="86" spans="2:33">
      <c r="B86">
        <v>3</v>
      </c>
      <c r="C86">
        <v>2500</v>
      </c>
      <c r="D86" s="5">
        <v>2E-3</v>
      </c>
      <c r="E86" s="2">
        <v>0.4</v>
      </c>
      <c r="F86" s="30">
        <f t="shared" si="11"/>
        <v>0.15</v>
      </c>
      <c r="G86" s="11">
        <f t="shared" si="8"/>
        <v>3</v>
      </c>
      <c r="H86" s="15">
        <f t="shared" si="12"/>
        <v>63.557862304151058</v>
      </c>
      <c r="I86" s="15"/>
      <c r="J86" s="16"/>
      <c r="W86" s="5">
        <f t="shared" si="10"/>
        <v>8.0500000000000058E-2</v>
      </c>
      <c r="X86">
        <f t="shared" si="9"/>
        <v>23747.500000000018</v>
      </c>
      <c r="Y86" s="10">
        <f ca="1"/>
        <v>0</v>
      </c>
      <c r="Z86" s="10">
        <v>4.1488206056487994E-5</v>
      </c>
      <c r="AA86" s="13">
        <v>167.20198767870897</v>
      </c>
      <c r="AF86" s="1"/>
      <c r="AG86" s="2"/>
    </row>
    <row r="87" spans="2:33">
      <c r="B87">
        <v>3</v>
      </c>
      <c r="C87">
        <v>2500</v>
      </c>
      <c r="D87" s="5">
        <v>2E-3</v>
      </c>
      <c r="E87" s="2">
        <v>0.4</v>
      </c>
      <c r="F87" s="30">
        <f t="shared" si="11"/>
        <v>0.15</v>
      </c>
      <c r="G87" s="11">
        <f t="shared" si="8"/>
        <v>3</v>
      </c>
      <c r="H87" s="15">
        <f t="shared" si="12"/>
        <v>63.557862304151058</v>
      </c>
      <c r="I87" s="15"/>
      <c r="J87" s="16"/>
      <c r="W87" s="5">
        <f t="shared" si="10"/>
        <v>8.1500000000000059E-2</v>
      </c>
      <c r="X87">
        <f t="shared" si="9"/>
        <v>24042.500000000018</v>
      </c>
      <c r="Y87" s="10">
        <f ca="1"/>
        <v>0</v>
      </c>
      <c r="Z87" s="10">
        <v>3.8026436678730425E-5</v>
      </c>
      <c r="AA87" s="13">
        <v>167.20198767870897</v>
      </c>
      <c r="AF87" s="1"/>
      <c r="AG87" s="2"/>
    </row>
    <row r="88" spans="2:33">
      <c r="B88">
        <v>3</v>
      </c>
      <c r="C88">
        <v>2500</v>
      </c>
      <c r="D88" s="5">
        <v>2E-3</v>
      </c>
      <c r="E88" s="2">
        <v>0.4</v>
      </c>
      <c r="F88" s="30">
        <f t="shared" si="11"/>
        <v>0.15</v>
      </c>
      <c r="G88" s="11">
        <f t="shared" si="8"/>
        <v>3</v>
      </c>
      <c r="H88" s="15">
        <f t="shared" si="12"/>
        <v>63.557862304151058</v>
      </c>
      <c r="I88" s="15"/>
      <c r="J88" s="16"/>
      <c r="W88" s="5">
        <f t="shared" si="10"/>
        <v>8.2500000000000059E-2</v>
      </c>
      <c r="X88">
        <f t="shared" si="9"/>
        <v>24337.500000000018</v>
      </c>
      <c r="Y88" s="10">
        <f ca="1"/>
        <v>0</v>
      </c>
      <c r="Z88" s="10">
        <v>3.4793409419694603E-5</v>
      </c>
      <c r="AA88" s="13">
        <v>167.20198767870897</v>
      </c>
      <c r="AF88" s="1"/>
      <c r="AG88" s="2"/>
    </row>
    <row r="89" spans="2:33">
      <c r="B89">
        <v>3</v>
      </c>
      <c r="C89">
        <v>2500</v>
      </c>
      <c r="D89" s="5">
        <v>2E-3</v>
      </c>
      <c r="E89" s="2">
        <v>0.4</v>
      </c>
      <c r="F89" s="30">
        <f t="shared" si="11"/>
        <v>0.15</v>
      </c>
      <c r="G89" s="11">
        <f t="shared" si="8"/>
        <v>3</v>
      </c>
      <c r="H89" s="15">
        <f t="shared" si="12"/>
        <v>63.557862304151058</v>
      </c>
      <c r="I89" s="15"/>
      <c r="J89" s="16"/>
      <c r="W89" s="5">
        <f t="shared" si="10"/>
        <v>8.350000000000006E-2</v>
      </c>
      <c r="X89">
        <f t="shared" si="9"/>
        <v>24632.500000000018</v>
      </c>
      <c r="Y89" s="10">
        <f ca="1"/>
        <v>0</v>
      </c>
      <c r="Z89" s="10">
        <v>3.1776322209241508E-5</v>
      </c>
      <c r="AA89" s="13">
        <v>167.20198767870897</v>
      </c>
      <c r="AF89" s="1"/>
      <c r="AG89" s="2"/>
    </row>
    <row r="90" spans="2:33">
      <c r="B90">
        <v>3</v>
      </c>
      <c r="C90">
        <v>2500</v>
      </c>
      <c r="D90" s="5">
        <v>2E-3</v>
      </c>
      <c r="E90" s="2">
        <v>0.4</v>
      </c>
      <c r="F90" s="30">
        <f t="shared" si="11"/>
        <v>0.15</v>
      </c>
      <c r="G90" s="11">
        <f t="shared" si="8"/>
        <v>3</v>
      </c>
      <c r="H90" s="15">
        <f t="shared" si="12"/>
        <v>63.557862304151058</v>
      </c>
      <c r="I90" s="15"/>
      <c r="J90" s="16"/>
      <c r="W90" s="5">
        <f t="shared" si="10"/>
        <v>8.4500000000000061E-2</v>
      </c>
      <c r="X90">
        <f t="shared" si="9"/>
        <v>24927.500000000018</v>
      </c>
      <c r="Y90" s="4">
        <f ca="1"/>
        <v>0</v>
      </c>
      <c r="Z90" s="4">
        <v>2.8965143243279944E-5</v>
      </c>
      <c r="AA90" s="13">
        <v>167.20198767870897</v>
      </c>
      <c r="AF90" s="1"/>
      <c r="AG90" s="2"/>
    </row>
    <row r="91" spans="2:33">
      <c r="B91">
        <v>3</v>
      </c>
      <c r="C91">
        <v>2500</v>
      </c>
      <c r="D91" s="5">
        <v>2E-3</v>
      </c>
      <c r="E91" s="2">
        <v>0.4</v>
      </c>
      <c r="F91" s="30">
        <f t="shared" si="11"/>
        <v>0.15</v>
      </c>
      <c r="G91" s="11">
        <f t="shared" si="8"/>
        <v>3</v>
      </c>
      <c r="H91" s="15">
        <f t="shared" si="12"/>
        <v>63.557862304151058</v>
      </c>
      <c r="I91" s="15"/>
      <c r="J91" s="16"/>
      <c r="W91" s="5">
        <f t="shared" si="10"/>
        <v>8.5500000000000062E-2</v>
      </c>
      <c r="X91">
        <f t="shared" si="9"/>
        <v>25222.500000000018</v>
      </c>
      <c r="Y91" s="4">
        <f ca="1"/>
        <v>0</v>
      </c>
      <c r="Z91" s="4">
        <v>2.6351641610605593E-5</v>
      </c>
      <c r="AA91" s="13">
        <v>81.589703058853047</v>
      </c>
      <c r="AF91" s="1"/>
      <c r="AG91" s="2"/>
    </row>
    <row r="92" spans="2:33">
      <c r="B92">
        <v>3</v>
      </c>
      <c r="C92">
        <v>2500</v>
      </c>
      <c r="D92" s="5">
        <v>2E-3</v>
      </c>
      <c r="E92" s="2">
        <v>0.4</v>
      </c>
      <c r="F92" s="30">
        <f t="shared" si="11"/>
        <v>0.15</v>
      </c>
      <c r="G92" s="11">
        <f t="shared" si="8"/>
        <v>3</v>
      </c>
      <c r="H92" s="15">
        <f t="shared" si="12"/>
        <v>63.557862304151058</v>
      </c>
      <c r="I92" s="15"/>
      <c r="J92" s="16"/>
      <c r="W92" s="5">
        <f t="shared" si="10"/>
        <v>8.6500000000000063E-2</v>
      </c>
      <c r="X92">
        <f t="shared" si="9"/>
        <v>25517.500000000018</v>
      </c>
      <c r="Y92" s="4">
        <f ca="1"/>
        <v>0</v>
      </c>
      <c r="Z92" s="4">
        <v>2.3928622217599227E-5</v>
      </c>
      <c r="AA92" s="13">
        <v>81.589703058853047</v>
      </c>
      <c r="AF92" s="1"/>
      <c r="AG92" s="2"/>
    </row>
    <row r="93" spans="2:33">
      <c r="B93">
        <v>3</v>
      </c>
      <c r="C93">
        <v>2500</v>
      </c>
      <c r="D93" s="5">
        <v>2E-3</v>
      </c>
      <c r="E93" s="2">
        <v>0.4</v>
      </c>
      <c r="F93" s="30">
        <f t="shared" si="11"/>
        <v>0.15</v>
      </c>
      <c r="G93" s="11">
        <f t="shared" si="8"/>
        <v>3</v>
      </c>
      <c r="H93" s="15">
        <f t="shared" si="12"/>
        <v>63.557862304151058</v>
      </c>
      <c r="I93" s="15"/>
      <c r="J93" s="16"/>
      <c r="W93" s="5">
        <f t="shared" si="10"/>
        <v>8.7500000000000064E-2</v>
      </c>
      <c r="X93">
        <f t="shared" si="9"/>
        <v>25812.500000000018</v>
      </c>
      <c r="Y93" s="4">
        <f ca="1"/>
        <v>0</v>
      </c>
      <c r="Z93" s="4">
        <v>2.1689345804153387E-5</v>
      </c>
      <c r="AA93" s="13">
        <v>81.589703058853047</v>
      </c>
      <c r="AF93" s="1"/>
      <c r="AG93" s="2"/>
    </row>
    <row r="94" spans="2:33">
      <c r="B94">
        <v>3</v>
      </c>
      <c r="C94">
        <v>2500</v>
      </c>
      <c r="D94" s="5">
        <v>2E-3</v>
      </c>
      <c r="E94" s="2">
        <v>0.4</v>
      </c>
      <c r="F94" s="30">
        <f t="shared" si="11"/>
        <v>0.15</v>
      </c>
      <c r="G94" s="11">
        <f t="shared" si="8"/>
        <v>3</v>
      </c>
      <c r="H94" s="15">
        <f t="shared" si="12"/>
        <v>63.557862304151058</v>
      </c>
      <c r="I94" s="15"/>
      <c r="J94" s="16"/>
      <c r="W94" s="5">
        <f t="shared" si="10"/>
        <v>8.8500000000000065E-2</v>
      </c>
      <c r="X94">
        <f t="shared" si="9"/>
        <v>26107.500000000018</v>
      </c>
      <c r="Y94" s="4">
        <f ca="1"/>
        <v>0</v>
      </c>
      <c r="Z94" s="4">
        <v>1.9627111690450414E-5</v>
      </c>
      <c r="AA94" s="13">
        <v>81.589703058853047</v>
      </c>
      <c r="AF94" s="1"/>
      <c r="AG94" s="2"/>
    </row>
    <row r="95" spans="2:33">
      <c r="B95">
        <v>3</v>
      </c>
      <c r="C95">
        <v>2500</v>
      </c>
      <c r="D95" s="5">
        <v>2E-3</v>
      </c>
      <c r="E95" s="2">
        <v>0.4</v>
      </c>
      <c r="F95" s="30">
        <f t="shared" si="11"/>
        <v>0.15</v>
      </c>
      <c r="G95" s="11">
        <f t="shared" si="8"/>
        <v>3</v>
      </c>
      <c r="H95" s="15">
        <f t="shared" si="12"/>
        <v>63.557862304151058</v>
      </c>
      <c r="I95" s="15"/>
      <c r="J95" s="16"/>
      <c r="W95" s="5">
        <f t="shared" si="10"/>
        <v>8.9500000000000066E-2</v>
      </c>
      <c r="X95">
        <f t="shared" si="9"/>
        <v>26402.500000000018</v>
      </c>
      <c r="Y95" s="4">
        <f ca="1"/>
        <v>0</v>
      </c>
      <c r="Z95" s="4">
        <v>1.7734979519655362E-5</v>
      </c>
      <c r="AA95" s="13">
        <v>81.589703058853047</v>
      </c>
      <c r="AF95" s="1"/>
      <c r="AG95" s="2"/>
    </row>
    <row r="96" spans="2:33">
      <c r="B96">
        <v>3</v>
      </c>
      <c r="C96">
        <v>2500</v>
      </c>
      <c r="D96" s="5">
        <v>2E-3</v>
      </c>
      <c r="E96" s="2">
        <v>0.4</v>
      </c>
      <c r="F96" s="30">
        <f t="shared" si="11"/>
        <v>0.15</v>
      </c>
      <c r="G96" s="11">
        <f t="shared" si="8"/>
        <v>3</v>
      </c>
      <c r="H96" s="15">
        <f t="shared" si="12"/>
        <v>63.557862304151058</v>
      </c>
      <c r="I96" s="15"/>
      <c r="J96" s="16"/>
      <c r="W96" s="5">
        <f t="shared" si="10"/>
        <v>9.0500000000000067E-2</v>
      </c>
      <c r="X96">
        <f t="shared" si="9"/>
        <v>26697.500000000018</v>
      </c>
      <c r="Y96" s="4">
        <f ca="1"/>
        <v>0</v>
      </c>
      <c r="Z96" s="4">
        <v>1.6005606269649365E-5</v>
      </c>
      <c r="AA96" s="13">
        <v>81.589703058853047</v>
      </c>
      <c r="AF96" s="1"/>
      <c r="AG96" s="2"/>
    </row>
    <row r="97" spans="2:33">
      <c r="B97">
        <v>3</v>
      </c>
      <c r="C97">
        <v>2500</v>
      </c>
      <c r="D97" s="5">
        <v>2E-3</v>
      </c>
      <c r="E97" s="2">
        <v>0.4</v>
      </c>
      <c r="F97" s="30">
        <f t="shared" si="11"/>
        <v>0.15</v>
      </c>
      <c r="G97" s="11">
        <f t="shared" si="8"/>
        <v>3</v>
      </c>
      <c r="H97" s="15">
        <f t="shared" si="12"/>
        <v>63.557862304151058</v>
      </c>
      <c r="I97" s="15"/>
      <c r="J97" s="16"/>
      <c r="W97" s="5">
        <f t="shared" si="10"/>
        <v>9.1500000000000067E-2</v>
      </c>
      <c r="X97">
        <f t="shared" si="9"/>
        <v>26992.500000000018</v>
      </c>
      <c r="Y97" s="4">
        <f ca="1"/>
        <v>0</v>
      </c>
      <c r="Z97" s="4">
        <v>1.4431175834292801E-5</v>
      </c>
      <c r="AA97" s="13">
        <v>81.589703058853047</v>
      </c>
      <c r="AF97" s="1"/>
      <c r="AG97" s="2"/>
    </row>
    <row r="98" spans="2:33">
      <c r="B98">
        <v>3</v>
      </c>
      <c r="C98">
        <v>2500</v>
      </c>
      <c r="D98" s="5">
        <v>2E-3</v>
      </c>
      <c r="E98" s="2">
        <v>0.4</v>
      </c>
      <c r="F98" s="30">
        <f t="shared" si="11"/>
        <v>0.15</v>
      </c>
      <c r="G98" s="11">
        <f t="shared" si="8"/>
        <v>3</v>
      </c>
      <c r="H98" s="15">
        <f t="shared" si="12"/>
        <v>63.557862304151058</v>
      </c>
      <c r="I98" s="15"/>
      <c r="J98" s="16"/>
      <c r="W98" s="5">
        <f t="shared" si="10"/>
        <v>9.2500000000000068E-2</v>
      </c>
      <c r="X98">
        <f t="shared" si="9"/>
        <v>27287.500000000022</v>
      </c>
      <c r="Y98" s="4">
        <f ca="1"/>
        <v>0</v>
      </c>
      <c r="Z98" s="4">
        <v>1.3003400205510293E-5</v>
      </c>
      <c r="AA98" s="13">
        <v>81.589703058853047</v>
      </c>
      <c r="AF98" s="1"/>
      <c r="AG98" s="2"/>
    </row>
    <row r="99" spans="2:33">
      <c r="B99">
        <v>3</v>
      </c>
      <c r="C99">
        <v>2500</v>
      </c>
      <c r="D99" s="5">
        <v>2E-3</v>
      </c>
      <c r="E99" s="2">
        <v>0.4</v>
      </c>
      <c r="F99" s="30">
        <f t="shared" si="11"/>
        <v>0.15</v>
      </c>
      <c r="G99" s="11">
        <f t="shared" si="8"/>
        <v>3</v>
      </c>
      <c r="H99" s="15">
        <f t="shared" si="12"/>
        <v>63.557862304151058</v>
      </c>
      <c r="I99" s="15"/>
      <c r="J99" s="16"/>
      <c r="W99" s="5">
        <f t="shared" si="10"/>
        <v>9.3500000000000069E-2</v>
      </c>
      <c r="X99">
        <f t="shared" si="9"/>
        <v>27582.500000000022</v>
      </c>
      <c r="Y99" s="4">
        <f ca="1"/>
        <v>0</v>
      </c>
      <c r="Z99" s="4">
        <v>1.1713573459100921E-5</v>
      </c>
      <c r="AA99" s="13">
        <v>81.589703058853047</v>
      </c>
      <c r="AF99" s="1"/>
      <c r="AG99" s="2"/>
    </row>
    <row r="100" spans="2:33">
      <c r="B100">
        <v>3</v>
      </c>
      <c r="C100">
        <v>2500</v>
      </c>
      <c r="D100" s="5">
        <v>2E-3</v>
      </c>
      <c r="E100" s="2">
        <v>0.4</v>
      </c>
      <c r="F100" s="30">
        <f t="shared" si="11"/>
        <v>0.15</v>
      </c>
      <c r="G100" s="11">
        <f t="shared" si="8"/>
        <v>3</v>
      </c>
      <c r="H100" s="15">
        <f t="shared" si="12"/>
        <v>63.557862304151058</v>
      </c>
      <c r="I100" s="15"/>
      <c r="J100" s="16"/>
      <c r="W100" s="5">
        <f t="shared" si="10"/>
        <v>9.450000000000007E-2</v>
      </c>
      <c r="X100">
        <f t="shared" si="9"/>
        <v>27877.500000000022</v>
      </c>
      <c r="Y100" s="4">
        <f ca="1"/>
        <v>0</v>
      </c>
      <c r="Z100" s="4">
        <v>1.0552662149928126E-5</v>
      </c>
      <c r="AA100" s="13">
        <v>81.589703058853047</v>
      </c>
      <c r="AF100" s="1"/>
      <c r="AG100" s="2"/>
    </row>
    <row r="101" spans="2:33">
      <c r="B101">
        <v>3</v>
      </c>
      <c r="C101">
        <v>2500</v>
      </c>
      <c r="D101" s="5">
        <v>2E-3</v>
      </c>
      <c r="E101" s="2">
        <v>0.4</v>
      </c>
      <c r="F101" s="30">
        <f t="shared" si="11"/>
        <v>0.15</v>
      </c>
      <c r="G101" s="11">
        <f t="shared" si="8"/>
        <v>3</v>
      </c>
      <c r="H101" s="15">
        <f t="shared" si="12"/>
        <v>63.557862304151058</v>
      </c>
      <c r="I101" s="15"/>
      <c r="J101" s="16"/>
      <c r="W101" s="5">
        <f t="shared" si="10"/>
        <v>9.5500000000000071E-2</v>
      </c>
      <c r="X101">
        <f t="shared" si="9"/>
        <v>28172.500000000022</v>
      </c>
      <c r="Y101" s="4">
        <f ca="1"/>
        <v>0</v>
      </c>
      <c r="Z101" s="4">
        <v>9.5114181951283621E-6</v>
      </c>
      <c r="AA101" s="13">
        <v>81.589703058853047</v>
      </c>
      <c r="AF101" s="1"/>
      <c r="AG101" s="2"/>
    </row>
    <row r="102" spans="2:33">
      <c r="B102">
        <v>3</v>
      </c>
      <c r="C102">
        <v>2500</v>
      </c>
      <c r="D102" s="5">
        <v>2E-3</v>
      </c>
      <c r="E102" s="2">
        <v>0.4</v>
      </c>
      <c r="F102" s="30">
        <f t="shared" si="11"/>
        <v>0.15</v>
      </c>
      <c r="G102" s="11">
        <f t="shared" si="8"/>
        <v>3</v>
      </c>
      <c r="H102" s="15">
        <f t="shared" si="12"/>
        <v>63.557862304151058</v>
      </c>
      <c r="I102" s="15"/>
      <c r="J102" s="16"/>
      <c r="W102" s="5">
        <f t="shared" si="10"/>
        <v>9.6500000000000072E-2</v>
      </c>
      <c r="X102">
        <f t="shared" si="9"/>
        <v>28467.500000000022</v>
      </c>
      <c r="Y102" s="4">
        <f ca="1"/>
        <v>0</v>
      </c>
      <c r="Z102" s="4">
        <v>8.5805027486947911E-6</v>
      </c>
      <c r="AA102" s="13">
        <v>81.589703058853047</v>
      </c>
      <c r="AF102" s="1"/>
      <c r="AG102" s="2"/>
    </row>
    <row r="103" spans="2:33">
      <c r="B103">
        <v>3</v>
      </c>
      <c r="C103">
        <v>2500</v>
      </c>
      <c r="D103" s="5">
        <v>2E-3</v>
      </c>
      <c r="E103" s="2">
        <v>0.4</v>
      </c>
      <c r="F103" s="30">
        <f t="shared" si="11"/>
        <v>0.15</v>
      </c>
      <c r="G103" s="11">
        <f t="shared" si="8"/>
        <v>3</v>
      </c>
      <c r="H103" s="15">
        <f t="shared" si="12"/>
        <v>63.557862304151058</v>
      </c>
      <c r="I103" s="15"/>
      <c r="J103" s="16"/>
      <c r="W103" s="5">
        <f t="shared" si="10"/>
        <v>9.7500000000000073E-2</v>
      </c>
      <c r="X103">
        <f t="shared" si="9"/>
        <v>28762.500000000022</v>
      </c>
      <c r="Y103" s="4">
        <f ca="1"/>
        <v>0</v>
      </c>
      <c r="Z103" s="4">
        <v>7.7506118639827542E-6</v>
      </c>
      <c r="AA103" s="13">
        <v>81.589703058853047</v>
      </c>
      <c r="AF103" s="1"/>
      <c r="AG103" s="2"/>
    </row>
    <row r="104" spans="2:33">
      <c r="B104">
        <v>3</v>
      </c>
      <c r="C104">
        <v>2500</v>
      </c>
      <c r="D104" s="5">
        <v>2E-3</v>
      </c>
      <c r="E104" s="2">
        <v>0.4</v>
      </c>
      <c r="F104" s="30">
        <f t="shared" ref="F104:F135" si="13">$C$16</f>
        <v>0.15</v>
      </c>
      <c r="G104" s="11">
        <f t="shared" si="8"/>
        <v>3</v>
      </c>
      <c r="H104" s="15">
        <f t="shared" ref="H104:H135" si="14">AA70</f>
        <v>63.557862304151058</v>
      </c>
      <c r="I104" s="15"/>
      <c r="J104" s="16"/>
      <c r="W104" s="5">
        <f t="shared" si="10"/>
        <v>9.8500000000000074E-2</v>
      </c>
      <c r="X104">
        <f t="shared" si="9"/>
        <v>29057.500000000022</v>
      </c>
      <c r="Y104" s="4">
        <f ca="1"/>
        <v>0</v>
      </c>
      <c r="Z104" s="4">
        <v>7.0125968473037914E-6</v>
      </c>
      <c r="AA104" s="13">
        <v>81.589703058853047</v>
      </c>
      <c r="AF104" s="1"/>
      <c r="AG104" s="2"/>
    </row>
    <row r="105" spans="2:33">
      <c r="B105">
        <v>4</v>
      </c>
      <c r="C105">
        <v>2500</v>
      </c>
      <c r="D105" s="5">
        <v>0.01</v>
      </c>
      <c r="E105" s="2">
        <v>0.5</v>
      </c>
      <c r="F105" s="30">
        <f t="shared" si="13"/>
        <v>0.15</v>
      </c>
      <c r="G105" s="11">
        <f t="shared" ref="G105:G168" si="15">C105*D105*(1-E105)</f>
        <v>12.5</v>
      </c>
      <c r="H105" s="15">
        <f t="shared" si="14"/>
        <v>167.20198767870897</v>
      </c>
      <c r="I105" s="15"/>
      <c r="J105" s="16"/>
      <c r="W105" s="5">
        <f t="shared" si="10"/>
        <v>9.9500000000000074E-2</v>
      </c>
      <c r="X105">
        <f t="shared" si="9"/>
        <v>29352.500000000022</v>
      </c>
      <c r="Y105" s="4">
        <f ca="1"/>
        <v>0</v>
      </c>
      <c r="Z105" s="4">
        <v>6.3575740926765739E-6</v>
      </c>
      <c r="AA105" s="13">
        <v>81.589703058853047</v>
      </c>
      <c r="AG105" s="2"/>
    </row>
    <row r="106" spans="2:33">
      <c r="B106">
        <v>4</v>
      </c>
      <c r="C106">
        <v>2500</v>
      </c>
      <c r="D106" s="5">
        <v>0.01</v>
      </c>
      <c r="E106" s="2">
        <v>0.5</v>
      </c>
      <c r="F106" s="30">
        <f t="shared" si="13"/>
        <v>0.15</v>
      </c>
      <c r="G106" s="11">
        <f t="shared" si="15"/>
        <v>12.5</v>
      </c>
      <c r="H106" s="15">
        <f t="shared" si="14"/>
        <v>167.20198767870897</v>
      </c>
      <c r="I106" s="15"/>
      <c r="J106" s="16"/>
      <c r="W106" s="5">
        <f t="shared" si="10"/>
        <v>0.10050000000000008</v>
      </c>
      <c r="X106">
        <f t="shared" si="9"/>
        <v>29647.500000000022</v>
      </c>
      <c r="Y106" s="4">
        <f ca="1"/>
        <v>0</v>
      </c>
      <c r="Z106" s="4">
        <v>5.7770208384064533E-6</v>
      </c>
      <c r="AA106" s="13">
        <v>81.589703058853047</v>
      </c>
      <c r="AG106" s="2"/>
    </row>
    <row r="107" spans="2:33">
      <c r="B107">
        <v>4</v>
      </c>
      <c r="C107">
        <v>2500</v>
      </c>
      <c r="D107" s="5">
        <v>0.01</v>
      </c>
      <c r="E107" s="2">
        <v>0.5</v>
      </c>
      <c r="F107" s="30">
        <f t="shared" si="13"/>
        <v>0.15</v>
      </c>
      <c r="G107" s="11">
        <f t="shared" si="15"/>
        <v>12.5</v>
      </c>
      <c r="H107" s="15">
        <f t="shared" si="14"/>
        <v>167.20198767870897</v>
      </c>
      <c r="I107" s="15"/>
      <c r="J107" s="16"/>
      <c r="W107" s="5">
        <f t="shared" si="10"/>
        <v>0.10150000000000008</v>
      </c>
      <c r="X107">
        <f t="shared" si="9"/>
        <v>29942.500000000022</v>
      </c>
      <c r="Y107" s="4">
        <f ca="1"/>
        <v>0</v>
      </c>
      <c r="Z107" s="4">
        <v>5.2628546961693338E-6</v>
      </c>
      <c r="AA107" s="13">
        <v>81.589703058853047</v>
      </c>
      <c r="AG107" s="2"/>
    </row>
    <row r="108" spans="2:33">
      <c r="B108">
        <v>4</v>
      </c>
      <c r="C108">
        <v>2500</v>
      </c>
      <c r="D108" s="5">
        <v>0.01</v>
      </c>
      <c r="E108" s="2">
        <v>0.5</v>
      </c>
      <c r="F108" s="30">
        <f t="shared" si="13"/>
        <v>0.15</v>
      </c>
      <c r="G108" s="11">
        <f t="shared" si="15"/>
        <v>12.5</v>
      </c>
      <c r="H108" s="15">
        <f t="shared" si="14"/>
        <v>167.20198767870897</v>
      </c>
      <c r="I108" s="15"/>
      <c r="J108" s="16"/>
      <c r="W108" s="5">
        <f t="shared" si="10"/>
        <v>0.10250000000000008</v>
      </c>
      <c r="X108">
        <f t="shared" si="9"/>
        <v>30237.500000000022</v>
      </c>
      <c r="Y108" s="4">
        <f ca="1"/>
        <v>0</v>
      </c>
      <c r="Z108" s="4">
        <v>4.8074959773359344E-6</v>
      </c>
      <c r="AA108" s="13">
        <v>81.589703058853047</v>
      </c>
      <c r="AG108" s="2"/>
    </row>
    <row r="109" spans="2:33">
      <c r="B109">
        <v>4</v>
      </c>
      <c r="C109">
        <v>2500</v>
      </c>
      <c r="D109" s="5">
        <v>0.01</v>
      </c>
      <c r="E109" s="2">
        <v>0.5</v>
      </c>
      <c r="F109" s="30">
        <f t="shared" si="13"/>
        <v>0.15</v>
      </c>
      <c r="G109" s="11">
        <f t="shared" si="15"/>
        <v>12.5</v>
      </c>
      <c r="H109" s="15">
        <f t="shared" si="14"/>
        <v>167.20198767870897</v>
      </c>
      <c r="I109" s="15"/>
      <c r="J109" s="16"/>
      <c r="W109" s="5">
        <f t="shared" si="10"/>
        <v>0.10350000000000008</v>
      </c>
      <c r="X109">
        <f t="shared" si="9"/>
        <v>30532.500000000022</v>
      </c>
      <c r="Y109" s="4">
        <f ca="1"/>
        <v>0</v>
      </c>
      <c r="Z109" s="4">
        <v>4.4039127904767918E-6</v>
      </c>
      <c r="AA109" s="13">
        <v>81.589703058853047</v>
      </c>
      <c r="AG109" s="2"/>
    </row>
    <row r="110" spans="2:33">
      <c r="B110">
        <v>4</v>
      </c>
      <c r="C110">
        <v>2500</v>
      </c>
      <c r="D110" s="5">
        <v>0.01</v>
      </c>
      <c r="E110" s="2">
        <v>0.5</v>
      </c>
      <c r="F110" s="30">
        <f t="shared" si="13"/>
        <v>0.15</v>
      </c>
      <c r="G110" s="11">
        <f t="shared" si="15"/>
        <v>12.5</v>
      </c>
      <c r="H110" s="15">
        <f t="shared" si="14"/>
        <v>167.20198767870897</v>
      </c>
      <c r="I110" s="15"/>
      <c r="J110" s="16"/>
      <c r="W110" s="5">
        <f t="shared" si="10"/>
        <v>0.10450000000000008</v>
      </c>
      <c r="X110">
        <f t="shared" si="9"/>
        <v>30827.500000000022</v>
      </c>
      <c r="Y110" s="4">
        <f ca="1"/>
        <v>0</v>
      </c>
      <c r="Z110" s="4">
        <v>4.0456496239432127E-6</v>
      </c>
      <c r="AA110" s="13">
        <v>81.589703058853047</v>
      </c>
      <c r="AG110" s="2"/>
    </row>
    <row r="111" spans="2:33">
      <c r="B111">
        <v>4</v>
      </c>
      <c r="C111">
        <v>2500</v>
      </c>
      <c r="D111" s="5">
        <v>0.01</v>
      </c>
      <c r="E111" s="2">
        <v>0.5</v>
      </c>
      <c r="F111" s="30">
        <f t="shared" si="13"/>
        <v>0.15</v>
      </c>
      <c r="G111" s="11">
        <f t="shared" si="15"/>
        <v>12.5</v>
      </c>
      <c r="H111" s="15">
        <f t="shared" si="14"/>
        <v>167.20198767870897</v>
      </c>
      <c r="I111" s="15"/>
      <c r="J111" s="16"/>
      <c r="W111" s="5">
        <f t="shared" si="10"/>
        <v>0.10550000000000008</v>
      </c>
      <c r="X111">
        <f t="shared" si="9"/>
        <v>31122.500000000022</v>
      </c>
      <c r="Y111" s="4">
        <f ca="1"/>
        <v>0</v>
      </c>
      <c r="Z111" s="4">
        <v>3.7268406767652424E-6</v>
      </c>
      <c r="AA111" s="13">
        <v>81.589703058853047</v>
      </c>
      <c r="AG111" s="2"/>
    </row>
    <row r="112" spans="2:33">
      <c r="B112">
        <v>4</v>
      </c>
      <c r="C112">
        <v>2500</v>
      </c>
      <c r="D112" s="5">
        <v>0.01</v>
      </c>
      <c r="E112" s="2">
        <v>0.5</v>
      </c>
      <c r="F112" s="30">
        <f t="shared" si="13"/>
        <v>0.15</v>
      </c>
      <c r="G112" s="11">
        <f t="shared" si="15"/>
        <v>12.5</v>
      </c>
      <c r="H112" s="15">
        <f t="shared" si="14"/>
        <v>167.20198767870897</v>
      </c>
      <c r="I112" s="15"/>
      <c r="J112" s="16"/>
      <c r="W112" s="5">
        <f t="shared" si="10"/>
        <v>0.10650000000000008</v>
      </c>
      <c r="X112">
        <f t="shared" si="9"/>
        <v>31417.500000000025</v>
      </c>
      <c r="Y112" s="4">
        <f ca="1"/>
        <v>0</v>
      </c>
      <c r="Z112" s="4">
        <v>3.4422095802969112E-6</v>
      </c>
      <c r="AA112" s="13">
        <v>81.589703058853047</v>
      </c>
      <c r="AG112" s="2"/>
    </row>
    <row r="113" spans="2:33">
      <c r="B113">
        <v>4</v>
      </c>
      <c r="C113">
        <v>2500</v>
      </c>
      <c r="D113" s="5">
        <v>0.01</v>
      </c>
      <c r="E113" s="2">
        <v>0.5</v>
      </c>
      <c r="F113" s="30">
        <f t="shared" si="13"/>
        <v>0.15</v>
      </c>
      <c r="G113" s="11">
        <f t="shared" si="15"/>
        <v>12.5</v>
      </c>
      <c r="H113" s="15">
        <f t="shared" si="14"/>
        <v>167.20198767870897</v>
      </c>
      <c r="I113" s="15"/>
      <c r="J113" s="16"/>
      <c r="W113" s="5">
        <f t="shared" si="10"/>
        <v>0.10750000000000008</v>
      </c>
      <c r="X113">
        <f t="shared" si="9"/>
        <v>31712.500000000025</v>
      </c>
      <c r="Y113" s="4">
        <f ca="1"/>
        <v>0</v>
      </c>
      <c r="Z113" s="4">
        <v>3.1870573832414536E-6</v>
      </c>
      <c r="AA113" s="13">
        <v>81.589703058853047</v>
      </c>
      <c r="AG113" s="2"/>
    </row>
    <row r="114" spans="2:33">
      <c r="B114">
        <v>4</v>
      </c>
      <c r="C114">
        <v>2500</v>
      </c>
      <c r="D114" s="5">
        <v>0.01</v>
      </c>
      <c r="E114" s="2">
        <v>0.5</v>
      </c>
      <c r="F114" s="30">
        <f t="shared" si="13"/>
        <v>0.15</v>
      </c>
      <c r="G114" s="11">
        <f t="shared" si="15"/>
        <v>12.5</v>
      </c>
      <c r="H114" s="15">
        <f t="shared" si="14"/>
        <v>167.20198767870897</v>
      </c>
      <c r="I114" s="15"/>
      <c r="J114" s="16"/>
      <c r="W114" s="5">
        <f t="shared" si="10"/>
        <v>0.10850000000000008</v>
      </c>
      <c r="X114">
        <f t="shared" si="9"/>
        <v>32007.500000000025</v>
      </c>
      <c r="Y114" s="4">
        <f ca="1"/>
        <v>0</v>
      </c>
      <c r="Z114" s="4">
        <v>2.9572407746980103E-6</v>
      </c>
      <c r="AA114" s="13">
        <v>81.589703058853047</v>
      </c>
      <c r="AG114" s="2"/>
    </row>
    <row r="115" spans="2:33">
      <c r="B115">
        <v>4</v>
      </c>
      <c r="C115">
        <v>2500</v>
      </c>
      <c r="D115" s="5">
        <v>0.01</v>
      </c>
      <c r="E115" s="2">
        <v>0.5</v>
      </c>
      <c r="F115" s="30">
        <f t="shared" si="13"/>
        <v>0.15</v>
      </c>
      <c r="G115" s="11">
        <f t="shared" si="15"/>
        <v>12.5</v>
      </c>
      <c r="H115" s="15">
        <f t="shared" si="14"/>
        <v>167.20198767870897</v>
      </c>
      <c r="I115" s="15"/>
      <c r="J115" s="16"/>
      <c r="W115" s="5">
        <f t="shared" si="10"/>
        <v>0.10950000000000008</v>
      </c>
      <c r="X115">
        <f t="shared" si="9"/>
        <v>32302.500000000025</v>
      </c>
      <c r="Y115" s="4">
        <f ca="1"/>
        <v>0</v>
      </c>
      <c r="Z115" s="4">
        <v>2.7491425128842669E-6</v>
      </c>
      <c r="AA115" s="13">
        <v>81.589703058853047</v>
      </c>
      <c r="AG115" s="2"/>
    </row>
    <row r="116" spans="2:33">
      <c r="B116">
        <v>4</v>
      </c>
      <c r="C116">
        <v>2500</v>
      </c>
      <c r="D116" s="5">
        <v>0.01</v>
      </c>
      <c r="E116" s="2">
        <v>0.5</v>
      </c>
      <c r="F116" s="30">
        <f t="shared" si="13"/>
        <v>0.15</v>
      </c>
      <c r="G116" s="11">
        <f t="shared" si="15"/>
        <v>12.5</v>
      </c>
      <c r="H116" s="15">
        <f t="shared" si="14"/>
        <v>167.20198767870897</v>
      </c>
      <c r="I116" s="15"/>
      <c r="J116" s="16"/>
      <c r="W116" s="5">
        <f t="shared" si="10"/>
        <v>0.11050000000000008</v>
      </c>
      <c r="X116">
        <f t="shared" si="9"/>
        <v>32597.500000000025</v>
      </c>
      <c r="Y116" s="4">
        <f ca="1"/>
        <v>0</v>
      </c>
      <c r="Z116" s="4">
        <v>2.5596362197433114E-6</v>
      </c>
      <c r="AA116" s="13">
        <v>81.589703040663153</v>
      </c>
      <c r="AG116" s="2"/>
    </row>
    <row r="117" spans="2:33">
      <c r="B117">
        <v>4</v>
      </c>
      <c r="C117">
        <v>2500</v>
      </c>
      <c r="D117" s="5">
        <v>0.01</v>
      </c>
      <c r="E117" s="2">
        <v>0.5</v>
      </c>
      <c r="F117" s="30">
        <f t="shared" si="13"/>
        <v>0.15</v>
      </c>
      <c r="G117" s="11">
        <f t="shared" si="15"/>
        <v>12.5</v>
      </c>
      <c r="H117" s="15">
        <f t="shared" si="14"/>
        <v>167.20198767870897</v>
      </c>
      <c r="I117" s="15"/>
      <c r="J117" s="16"/>
      <c r="W117" s="5">
        <f t="shared" si="10"/>
        <v>0.11150000000000009</v>
      </c>
      <c r="X117">
        <f t="shared" si="9"/>
        <v>32892.500000000022</v>
      </c>
      <c r="Y117" s="4">
        <f ca="1"/>
        <v>0</v>
      </c>
      <c r="Z117" s="4">
        <v>2.386047884965874E-6</v>
      </c>
      <c r="AA117" s="13">
        <v>81.589703040663153</v>
      </c>
      <c r="AG117" s="2"/>
    </row>
    <row r="118" spans="2:33">
      <c r="B118">
        <v>4</v>
      </c>
      <c r="C118">
        <v>2500</v>
      </c>
      <c r="D118" s="5">
        <v>0.01</v>
      </c>
      <c r="E118" s="2">
        <v>0.5</v>
      </c>
      <c r="F118" s="30">
        <f t="shared" si="13"/>
        <v>0.15</v>
      </c>
      <c r="G118" s="11">
        <f t="shared" si="15"/>
        <v>12.5</v>
      </c>
      <c r="H118" s="15">
        <f t="shared" si="14"/>
        <v>167.20198767870897</v>
      </c>
      <c r="I118" s="15"/>
      <c r="J118" s="16"/>
      <c r="W118" s="5">
        <f t="shared" si="10"/>
        <v>0.11250000000000009</v>
      </c>
      <c r="X118">
        <f t="shared" si="9"/>
        <v>33187.500000000022</v>
      </c>
      <c r="Y118" s="4">
        <f ca="1"/>
        <v>0</v>
      </c>
      <c r="Z118" s="4">
        <v>2.2261128609988198E-6</v>
      </c>
      <c r="AA118" s="13">
        <v>81.589703040663153</v>
      </c>
      <c r="AG118" s="2"/>
    </row>
    <row r="119" spans="2:33">
      <c r="B119">
        <v>4</v>
      </c>
      <c r="C119">
        <v>2500</v>
      </c>
      <c r="D119" s="5">
        <v>0.01</v>
      </c>
      <c r="E119" s="2">
        <v>0.5</v>
      </c>
      <c r="F119" s="30">
        <f t="shared" si="13"/>
        <v>0.15</v>
      </c>
      <c r="G119" s="11">
        <f t="shared" si="15"/>
        <v>12.5</v>
      </c>
      <c r="H119" s="15">
        <f t="shared" si="14"/>
        <v>167.20198767870897</v>
      </c>
      <c r="I119" s="15"/>
      <c r="J119" s="16"/>
      <c r="W119" s="5">
        <f t="shared" si="10"/>
        <v>0.11350000000000009</v>
      </c>
      <c r="X119">
        <f t="shared" si="9"/>
        <v>33482.500000000029</v>
      </c>
      <c r="Y119" s="4">
        <f ca="1"/>
        <v>0</v>
      </c>
      <c r="Z119" s="4">
        <v>2.0779335514765779E-6</v>
      </c>
      <c r="AA119" s="13">
        <v>81.589703040663153</v>
      </c>
      <c r="AG119" s="2"/>
    </row>
    <row r="120" spans="2:33">
      <c r="B120">
        <v>4</v>
      </c>
      <c r="C120">
        <v>2500</v>
      </c>
      <c r="D120" s="5">
        <v>0.01</v>
      </c>
      <c r="E120" s="2">
        <v>0.5</v>
      </c>
      <c r="F120" s="30">
        <f t="shared" si="13"/>
        <v>0.15</v>
      </c>
      <c r="G120" s="11">
        <f t="shared" si="15"/>
        <v>12.5</v>
      </c>
      <c r="H120" s="15">
        <f t="shared" si="14"/>
        <v>167.20198767870897</v>
      </c>
      <c r="I120" s="15"/>
      <c r="J120" s="16"/>
      <c r="W120" s="5">
        <f t="shared" si="10"/>
        <v>0.11450000000000009</v>
      </c>
      <c r="X120">
        <f t="shared" si="9"/>
        <v>33777.500000000029</v>
      </c>
      <c r="Y120" s="4">
        <f ca="1"/>
        <v>0</v>
      </c>
      <c r="Z120" s="4">
        <v>1.939937299373847E-6</v>
      </c>
      <c r="AA120" s="13">
        <v>81.589703040663153</v>
      </c>
      <c r="AG120" s="2"/>
    </row>
    <row r="121" spans="2:33">
      <c r="B121">
        <v>4</v>
      </c>
      <c r="C121">
        <v>2500</v>
      </c>
      <c r="D121" s="5">
        <v>0.01</v>
      </c>
      <c r="E121" s="2">
        <v>0.5</v>
      </c>
      <c r="F121" s="30">
        <f t="shared" si="13"/>
        <v>0.15</v>
      </c>
      <c r="G121" s="11">
        <f t="shared" si="15"/>
        <v>12.5</v>
      </c>
      <c r="H121" s="15">
        <f t="shared" si="14"/>
        <v>167.20198767870897</v>
      </c>
      <c r="I121" s="15"/>
      <c r="J121" s="16"/>
      <c r="W121" s="5">
        <f t="shared" si="10"/>
        <v>0.11550000000000009</v>
      </c>
      <c r="X121">
        <f t="shared" si="9"/>
        <v>34072.500000000029</v>
      </c>
      <c r="Y121" s="4">
        <f ca="1"/>
        <v>0</v>
      </c>
      <c r="Z121" s="4">
        <v>1.8108349747995442E-6</v>
      </c>
      <c r="AA121" s="13">
        <v>97.719003479141975</v>
      </c>
      <c r="AG121" s="2"/>
    </row>
    <row r="122" spans="2:33">
      <c r="B122">
        <v>4</v>
      </c>
      <c r="C122">
        <v>2500</v>
      </c>
      <c r="D122" s="5">
        <v>0.01</v>
      </c>
      <c r="E122" s="2">
        <v>0.5</v>
      </c>
      <c r="F122" s="30">
        <f t="shared" si="13"/>
        <v>0.15</v>
      </c>
      <c r="G122" s="11">
        <f t="shared" si="15"/>
        <v>12.5</v>
      </c>
      <c r="H122" s="15">
        <f t="shared" si="14"/>
        <v>167.20198767870897</v>
      </c>
      <c r="I122" s="15"/>
      <c r="J122" s="16"/>
      <c r="W122" s="5">
        <f t="shared" si="10"/>
        <v>0.11650000000000009</v>
      </c>
      <c r="X122">
        <f t="shared" si="9"/>
        <v>34367.500000000029</v>
      </c>
      <c r="Y122" s="4">
        <f ca="1"/>
        <v>0</v>
      </c>
      <c r="Z122" s="4">
        <v>1.6895815950361604E-6</v>
      </c>
      <c r="AA122" s="13">
        <v>97.719003479141975</v>
      </c>
      <c r="AG122" s="2"/>
    </row>
    <row r="123" spans="2:33">
      <c r="B123">
        <v>4</v>
      </c>
      <c r="C123">
        <v>2500</v>
      </c>
      <c r="D123" s="5">
        <v>0.01</v>
      </c>
      <c r="E123" s="2">
        <v>0.5</v>
      </c>
      <c r="F123" s="30">
        <f t="shared" si="13"/>
        <v>0.15</v>
      </c>
      <c r="G123" s="11">
        <f t="shared" si="15"/>
        <v>12.5</v>
      </c>
      <c r="H123" s="15">
        <f t="shared" si="14"/>
        <v>167.20198767870897</v>
      </c>
      <c r="I123" s="15"/>
      <c r="J123" s="16"/>
      <c r="W123" s="5">
        <f t="shared" si="10"/>
        <v>0.11750000000000009</v>
      </c>
      <c r="X123">
        <f t="shared" si="9"/>
        <v>34662.500000000029</v>
      </c>
      <c r="Y123" s="4">
        <f ca="1"/>
        <v>0</v>
      </c>
      <c r="Z123" s="4">
        <v>1.5753395154439787E-6</v>
      </c>
      <c r="AA123" s="13">
        <v>97.719003479141975</v>
      </c>
      <c r="AG123" s="2"/>
    </row>
    <row r="124" spans="2:33">
      <c r="B124">
        <v>4</v>
      </c>
      <c r="C124">
        <v>2500</v>
      </c>
      <c r="D124" s="5">
        <v>0.01</v>
      </c>
      <c r="E124" s="2">
        <v>0.5</v>
      </c>
      <c r="F124" s="30">
        <f t="shared" si="13"/>
        <v>0.15</v>
      </c>
      <c r="G124" s="11">
        <f t="shared" si="15"/>
        <v>12.5</v>
      </c>
      <c r="H124" s="15">
        <f t="shared" si="14"/>
        <v>167.20198767870897</v>
      </c>
      <c r="I124" s="15"/>
      <c r="J124" s="16"/>
      <c r="W124" s="5">
        <f t="shared" si="10"/>
        <v>0.11850000000000009</v>
      </c>
      <c r="X124">
        <f t="shared" si="9"/>
        <v>34957.500000000029</v>
      </c>
      <c r="Y124" s="4">
        <f ca="1"/>
        <v>0</v>
      </c>
      <c r="Z124" s="4">
        <v>1.4674445708876052E-6</v>
      </c>
      <c r="AA124" s="13">
        <v>97.719003479141975</v>
      </c>
      <c r="AG124" s="2"/>
    </row>
    <row r="125" spans="2:33">
      <c r="B125">
        <v>5</v>
      </c>
      <c r="C125">
        <v>1000</v>
      </c>
      <c r="D125" s="5">
        <v>0.03</v>
      </c>
      <c r="E125" s="2">
        <v>0.65</v>
      </c>
      <c r="F125" s="30">
        <f t="shared" si="13"/>
        <v>0.15</v>
      </c>
      <c r="G125" s="11">
        <f t="shared" si="15"/>
        <v>10.5</v>
      </c>
      <c r="H125" s="15">
        <f t="shared" si="14"/>
        <v>81.589703058853047</v>
      </c>
      <c r="I125" s="15"/>
      <c r="J125" s="16"/>
      <c r="W125" s="5">
        <f t="shared" si="10"/>
        <v>0.11950000000000009</v>
      </c>
      <c r="X125">
        <f t="shared" si="9"/>
        <v>35252.500000000029</v>
      </c>
      <c r="Y125" s="4">
        <f ca="1"/>
        <v>0</v>
      </c>
      <c r="Z125" s="4">
        <v>1.3653754020167043E-6</v>
      </c>
      <c r="AA125" s="13">
        <v>97.719003479141975</v>
      </c>
      <c r="AG125" s="2"/>
    </row>
    <row r="126" spans="2:33">
      <c r="B126">
        <v>5</v>
      </c>
      <c r="C126">
        <v>1000</v>
      </c>
      <c r="D126" s="5">
        <v>0.03</v>
      </c>
      <c r="E126" s="2">
        <v>0.65</v>
      </c>
      <c r="F126" s="30">
        <f t="shared" si="13"/>
        <v>0.15</v>
      </c>
      <c r="G126" s="11">
        <f t="shared" si="15"/>
        <v>10.5</v>
      </c>
      <c r="H126" s="15">
        <f t="shared" si="14"/>
        <v>81.589703058853047</v>
      </c>
      <c r="I126" s="15"/>
      <c r="J126" s="16"/>
      <c r="W126" s="5">
        <f t="shared" si="10"/>
        <v>0.12050000000000009</v>
      </c>
      <c r="X126">
        <f t="shared" si="9"/>
        <v>35547.500000000029</v>
      </c>
      <c r="Y126" s="4">
        <f ca="1"/>
        <v>0</v>
      </c>
      <c r="Z126" s="4">
        <v>1.26872607385016E-6</v>
      </c>
      <c r="AA126" s="13">
        <v>97.719003479141975</v>
      </c>
      <c r="AG126" s="2"/>
    </row>
    <row r="127" spans="2:33">
      <c r="B127">
        <v>5</v>
      </c>
      <c r="C127">
        <v>1000</v>
      </c>
      <c r="D127" s="5">
        <v>0.03</v>
      </c>
      <c r="E127" s="2">
        <v>0.65</v>
      </c>
      <c r="F127" s="30">
        <f t="shared" si="13"/>
        <v>0.15</v>
      </c>
      <c r="G127" s="11">
        <f t="shared" si="15"/>
        <v>10.5</v>
      </c>
      <c r="H127" s="15">
        <f t="shared" si="14"/>
        <v>81.589703058853047</v>
      </c>
      <c r="I127" s="15"/>
      <c r="J127" s="16"/>
      <c r="W127" s="5">
        <f t="shared" si="10"/>
        <v>0.12150000000000009</v>
      </c>
      <c r="X127">
        <f t="shared" si="9"/>
        <v>35842.500000000029</v>
      </c>
      <c r="Y127" s="4">
        <f ca="1"/>
        <v>0</v>
      </c>
      <c r="Z127" s="4">
        <v>1.177181987713117E-6</v>
      </c>
      <c r="AA127" s="13">
        <v>97.719003479141975</v>
      </c>
      <c r="AG127" s="2"/>
    </row>
    <row r="128" spans="2:33">
      <c r="B128">
        <v>5</v>
      </c>
      <c r="C128">
        <v>1000</v>
      </c>
      <c r="D128" s="5">
        <v>0.03</v>
      </c>
      <c r="E128" s="2">
        <v>0.65</v>
      </c>
      <c r="F128" s="30">
        <f t="shared" si="13"/>
        <v>0.15</v>
      </c>
      <c r="G128" s="11">
        <f t="shared" si="15"/>
        <v>10.5</v>
      </c>
      <c r="H128" s="15">
        <f t="shared" si="14"/>
        <v>81.589703058853047</v>
      </c>
      <c r="I128" s="15"/>
      <c r="J128" s="16"/>
      <c r="W128" s="5">
        <f t="shared" si="10"/>
        <v>0.12250000000000009</v>
      </c>
      <c r="X128">
        <f t="shared" si="9"/>
        <v>36137.500000000029</v>
      </c>
      <c r="Y128" s="4">
        <f ca="1"/>
        <v>0</v>
      </c>
      <c r="Z128" s="4">
        <v>1.0904990018502157E-6</v>
      </c>
      <c r="AA128" s="13">
        <v>97.719003479141975</v>
      </c>
      <c r="AG128" s="2"/>
    </row>
    <row r="129" spans="2:33">
      <c r="B129">
        <v>5</v>
      </c>
      <c r="C129">
        <v>1000</v>
      </c>
      <c r="D129" s="5">
        <v>0.03</v>
      </c>
      <c r="E129" s="2">
        <v>0.65</v>
      </c>
      <c r="F129" s="30">
        <f t="shared" si="13"/>
        <v>0.15</v>
      </c>
      <c r="G129" s="11">
        <f t="shared" si="15"/>
        <v>10.5</v>
      </c>
      <c r="H129" s="15">
        <f t="shared" si="14"/>
        <v>81.589703058853047</v>
      </c>
      <c r="I129" s="15"/>
      <c r="J129" s="16"/>
      <c r="W129" s="5">
        <f t="shared" si="10"/>
        <v>0.1235000000000001</v>
      </c>
      <c r="X129">
        <f t="shared" si="9"/>
        <v>36432.500000000029</v>
      </c>
      <c r="Y129" s="4">
        <f ca="1"/>
        <v>0</v>
      </c>
      <c r="Z129" s="4">
        <v>1.0084856099668169E-6</v>
      </c>
      <c r="AA129" s="13">
        <v>97.719003479141975</v>
      </c>
      <c r="AG129" s="2"/>
    </row>
    <row r="130" spans="2:33">
      <c r="B130">
        <v>5</v>
      </c>
      <c r="C130">
        <v>1000</v>
      </c>
      <c r="D130" s="5">
        <v>0.03</v>
      </c>
      <c r="E130" s="2">
        <v>0.65</v>
      </c>
      <c r="F130" s="30">
        <f t="shared" si="13"/>
        <v>0.15</v>
      </c>
      <c r="G130" s="11">
        <f t="shared" si="15"/>
        <v>10.5</v>
      </c>
      <c r="H130" s="15">
        <f t="shared" si="14"/>
        <v>81.589703058853047</v>
      </c>
      <c r="I130" s="15"/>
      <c r="J130" s="16"/>
      <c r="W130" s="5">
        <f t="shared" si="10"/>
        <v>0.1245000000000001</v>
      </c>
      <c r="X130">
        <f t="shared" si="9"/>
        <v>36727.500000000029</v>
      </c>
      <c r="Y130" s="4">
        <f ca="1"/>
        <v>0</v>
      </c>
      <c r="Z130" s="4">
        <v>9.3098797876391718E-7</v>
      </c>
      <c r="AA130" s="13">
        <v>97.719003479141975</v>
      </c>
      <c r="AG130" s="2"/>
    </row>
    <row r="131" spans="2:33">
      <c r="B131">
        <v>5</v>
      </c>
      <c r="C131">
        <v>1000</v>
      </c>
      <c r="D131" s="5">
        <v>0.03</v>
      </c>
      <c r="E131" s="2">
        <v>0.65</v>
      </c>
      <c r="F131" s="30">
        <f t="shared" si="13"/>
        <v>0.15</v>
      </c>
      <c r="G131" s="11">
        <f t="shared" si="15"/>
        <v>10.5</v>
      </c>
      <c r="H131" s="15">
        <f t="shared" si="14"/>
        <v>81.589703058853047</v>
      </c>
      <c r="I131" s="15"/>
      <c r="J131" s="16"/>
      <c r="W131" s="5">
        <f t="shared" si="10"/>
        <v>0.12550000000000008</v>
      </c>
      <c r="X131">
        <f t="shared" si="9"/>
        <v>37022.500000000022</v>
      </c>
      <c r="Y131" s="4">
        <f ca="1"/>
        <v>0</v>
      </c>
      <c r="Z131" s="4">
        <v>8.5787761304746664E-7</v>
      </c>
      <c r="AA131" s="13">
        <v>97.719003479141975</v>
      </c>
      <c r="AG131" s="2"/>
    </row>
    <row r="132" spans="2:33">
      <c r="B132">
        <v>5</v>
      </c>
      <c r="C132">
        <v>1000</v>
      </c>
      <c r="D132" s="5">
        <v>0.03</v>
      </c>
      <c r="E132" s="2">
        <v>0.65</v>
      </c>
      <c r="F132" s="30">
        <f t="shared" si="13"/>
        <v>0.15</v>
      </c>
      <c r="G132" s="11">
        <f t="shared" si="15"/>
        <v>10.5</v>
      </c>
      <c r="H132" s="15">
        <f t="shared" si="14"/>
        <v>81.589703058853047</v>
      </c>
      <c r="I132" s="15"/>
      <c r="J132" s="16"/>
      <c r="W132" s="5">
        <f t="shared" si="10"/>
        <v>0.12650000000000008</v>
      </c>
      <c r="X132">
        <f t="shared" si="9"/>
        <v>37317.500000000022</v>
      </c>
      <c r="Y132" s="4">
        <f ca="1"/>
        <v>0</v>
      </c>
      <c r="Z132" s="4">
        <v>7.8904139785421093E-7</v>
      </c>
      <c r="AA132" s="13">
        <v>97.719003479141975</v>
      </c>
      <c r="AG132" s="2"/>
    </row>
    <row r="133" spans="2:33">
      <c r="B133">
        <v>5</v>
      </c>
      <c r="C133">
        <v>1000</v>
      </c>
      <c r="D133" s="5">
        <v>0.03</v>
      </c>
      <c r="E133" s="2">
        <v>0.65</v>
      </c>
      <c r="F133" s="30">
        <f t="shared" si="13"/>
        <v>0.15</v>
      </c>
      <c r="G133" s="11">
        <f t="shared" si="15"/>
        <v>10.5</v>
      </c>
      <c r="H133" s="15">
        <f t="shared" si="14"/>
        <v>81.589703058853047</v>
      </c>
      <c r="I133" s="15"/>
      <c r="J133" s="16"/>
      <c r="W133" s="5">
        <f t="shared" si="10"/>
        <v>0.12750000000000009</v>
      </c>
      <c r="X133">
        <f t="shared" ref="X133:X196" si="16">W133*$C$21</f>
        <v>37612.500000000022</v>
      </c>
      <c r="Y133" s="4">
        <f ca="1"/>
        <v>0</v>
      </c>
      <c r="Z133" s="4">
        <v>7.2437375889465917E-7</v>
      </c>
      <c r="AA133" s="13">
        <v>97.719003479141975</v>
      </c>
      <c r="AG133" s="2"/>
    </row>
    <row r="134" spans="2:33">
      <c r="B134">
        <v>5</v>
      </c>
      <c r="C134">
        <v>1000</v>
      </c>
      <c r="D134" s="5">
        <v>0.03</v>
      </c>
      <c r="E134" s="2">
        <v>0.65</v>
      </c>
      <c r="F134" s="30">
        <f t="shared" si="13"/>
        <v>0.15</v>
      </c>
      <c r="G134" s="11">
        <f t="shared" si="15"/>
        <v>10.5</v>
      </c>
      <c r="H134" s="15">
        <f t="shared" si="14"/>
        <v>81.589703058853047</v>
      </c>
      <c r="I134" s="15"/>
      <c r="J134" s="16"/>
      <c r="W134" s="5">
        <f t="shared" si="10"/>
        <v>0.12850000000000009</v>
      </c>
      <c r="X134">
        <f t="shared" si="16"/>
        <v>37907.500000000029</v>
      </c>
      <c r="Y134" s="4">
        <f ca="1"/>
        <v>0</v>
      </c>
      <c r="Z134" s="4">
        <v>6.6377068324581749E-7</v>
      </c>
      <c r="AA134" s="13">
        <v>97.719003479141975</v>
      </c>
      <c r="AG134" s="2"/>
    </row>
    <row r="135" spans="2:33">
      <c r="B135">
        <v>5</v>
      </c>
      <c r="C135">
        <v>1000</v>
      </c>
      <c r="D135" s="5">
        <v>0.03</v>
      </c>
      <c r="E135" s="2">
        <v>0.65</v>
      </c>
      <c r="F135" s="30">
        <f t="shared" si="13"/>
        <v>0.15</v>
      </c>
      <c r="G135" s="11">
        <f t="shared" si="15"/>
        <v>10.5</v>
      </c>
      <c r="H135" s="15">
        <f t="shared" si="14"/>
        <v>81.589703058853047</v>
      </c>
      <c r="I135" s="15"/>
      <c r="J135" s="16"/>
      <c r="W135" s="5">
        <f t="shared" ref="W135:W198" si="17">W134+1/$C$18</f>
        <v>0.12950000000000009</v>
      </c>
      <c r="X135">
        <f t="shared" si="16"/>
        <v>38202.500000000029</v>
      </c>
      <c r="Y135" s="4">
        <f ca="1"/>
        <v>0</v>
      </c>
      <c r="Z135" s="4">
        <v>6.0712534961203808E-7</v>
      </c>
      <c r="AA135" s="13">
        <v>97.719003479141975</v>
      </c>
      <c r="AG135" s="2"/>
    </row>
    <row r="136" spans="2:33">
      <c r="B136">
        <v>5</v>
      </c>
      <c r="C136">
        <v>1000</v>
      </c>
      <c r="D136" s="5">
        <v>0.03</v>
      </c>
      <c r="E136" s="2">
        <v>0.65</v>
      </c>
      <c r="F136" s="30">
        <f t="shared" ref="F136:F167" si="18">$C$16</f>
        <v>0.15</v>
      </c>
      <c r="G136" s="11">
        <f t="shared" si="15"/>
        <v>10.5</v>
      </c>
      <c r="H136" s="15">
        <f t="shared" ref="H136:H167" si="19">AA102</f>
        <v>81.589703058853047</v>
      </c>
      <c r="I136" s="15"/>
      <c r="J136" s="16"/>
      <c r="W136" s="5">
        <f t="shared" si="17"/>
        <v>0.13050000000000009</v>
      </c>
      <c r="X136">
        <f t="shared" si="16"/>
        <v>38497.500000000029</v>
      </c>
      <c r="Y136" s="4">
        <f ca="1"/>
        <v>0</v>
      </c>
      <c r="Z136" s="4">
        <v>5.5432512983822849E-7</v>
      </c>
      <c r="AA136" s="13">
        <v>97.719003479141975</v>
      </c>
      <c r="AG136" s="2"/>
    </row>
    <row r="137" spans="2:33">
      <c r="B137">
        <v>5</v>
      </c>
      <c r="C137">
        <v>1000</v>
      </c>
      <c r="D137" s="5">
        <v>0.03</v>
      </c>
      <c r="E137" s="2">
        <v>0.65</v>
      </c>
      <c r="F137" s="30">
        <f t="shared" si="18"/>
        <v>0.15</v>
      </c>
      <c r="G137" s="11">
        <f t="shared" si="15"/>
        <v>10.5</v>
      </c>
      <c r="H137" s="15">
        <f t="shared" si="19"/>
        <v>81.589703058853047</v>
      </c>
      <c r="I137" s="15"/>
      <c r="J137" s="16"/>
      <c r="W137" s="5">
        <f t="shared" si="17"/>
        <v>0.13150000000000009</v>
      </c>
      <c r="X137">
        <f t="shared" si="16"/>
        <v>38792.500000000029</v>
      </c>
      <c r="Y137" s="4">
        <f ca="1"/>
        <v>0</v>
      </c>
      <c r="Z137" s="4">
        <v>5.0524973919539796E-7</v>
      </c>
      <c r="AA137" s="13">
        <v>97.719003479141975</v>
      </c>
      <c r="AG137" s="2"/>
    </row>
    <row r="138" spans="2:33">
      <c r="B138">
        <v>5</v>
      </c>
      <c r="C138">
        <v>1000</v>
      </c>
      <c r="D138" s="5">
        <v>0.03</v>
      </c>
      <c r="E138" s="2">
        <v>0.65</v>
      </c>
      <c r="F138" s="30">
        <f t="shared" si="18"/>
        <v>0.15</v>
      </c>
      <c r="G138" s="11">
        <f t="shared" si="15"/>
        <v>10.5</v>
      </c>
      <c r="H138" s="15">
        <f t="shared" si="19"/>
        <v>81.589703058853047</v>
      </c>
      <c r="I138" s="15"/>
      <c r="J138" s="16"/>
      <c r="W138" s="5">
        <f t="shared" si="17"/>
        <v>0.13250000000000009</v>
      </c>
      <c r="X138">
        <f t="shared" si="16"/>
        <v>39087.500000000029</v>
      </c>
      <c r="Y138" s="4">
        <f ca="1"/>
        <v>0</v>
      </c>
      <c r="Z138" s="4">
        <v>4.5977033101402478E-7</v>
      </c>
      <c r="AA138" s="13">
        <v>97.719003479141975</v>
      </c>
      <c r="AG138" s="2"/>
    </row>
    <row r="139" spans="2:33">
      <c r="B139">
        <v>5</v>
      </c>
      <c r="C139">
        <v>1000</v>
      </c>
      <c r="D139" s="5">
        <v>0.03</v>
      </c>
      <c r="E139" s="2">
        <v>0.65</v>
      </c>
      <c r="F139" s="30">
        <f t="shared" si="18"/>
        <v>0.15</v>
      </c>
      <c r="G139" s="11">
        <f t="shared" si="15"/>
        <v>10.5</v>
      </c>
      <c r="H139" s="15">
        <f t="shared" si="19"/>
        <v>81.589703058853047</v>
      </c>
      <c r="I139" s="15"/>
      <c r="J139" s="16"/>
      <c r="W139" s="5">
        <f t="shared" si="17"/>
        <v>0.13350000000000009</v>
      </c>
      <c r="X139">
        <f t="shared" si="16"/>
        <v>39382.500000000029</v>
      </c>
      <c r="Y139" s="4">
        <f ca="1"/>
        <v>0</v>
      </c>
      <c r="Z139" s="4">
        <v>4.1774935050959775E-7</v>
      </c>
      <c r="AA139" s="13">
        <v>97.719003479141975</v>
      </c>
      <c r="AG139" s="2"/>
    </row>
    <row r="140" spans="2:33">
      <c r="B140">
        <v>5</v>
      </c>
      <c r="C140">
        <v>1000</v>
      </c>
      <c r="D140" s="5">
        <v>0.03</v>
      </c>
      <c r="E140" s="2">
        <v>0.65</v>
      </c>
      <c r="F140" s="30">
        <f t="shared" si="18"/>
        <v>0.15</v>
      </c>
      <c r="G140" s="11">
        <f t="shared" si="15"/>
        <v>10.5</v>
      </c>
      <c r="H140" s="15">
        <f t="shared" si="19"/>
        <v>81.589703058853047</v>
      </c>
      <c r="I140" s="15"/>
      <c r="J140" s="16"/>
      <c r="W140" s="5">
        <f t="shared" si="17"/>
        <v>0.13450000000000009</v>
      </c>
      <c r="X140">
        <f t="shared" si="16"/>
        <v>39677.500000000029</v>
      </c>
      <c r="Y140" s="4">
        <f ca="1"/>
        <v>0</v>
      </c>
      <c r="Z140" s="4">
        <v>3.7904098233936952E-7</v>
      </c>
      <c r="AA140" s="13">
        <v>97.719003479141975</v>
      </c>
      <c r="AG140" s="2"/>
    </row>
    <row r="141" spans="2:33">
      <c r="B141">
        <v>5</v>
      </c>
      <c r="C141">
        <v>1000</v>
      </c>
      <c r="D141" s="5">
        <v>0.03</v>
      </c>
      <c r="E141" s="2">
        <v>0.65</v>
      </c>
      <c r="F141" s="30">
        <f t="shared" si="18"/>
        <v>0.15</v>
      </c>
      <c r="G141" s="11">
        <f t="shared" si="15"/>
        <v>10.5</v>
      </c>
      <c r="H141" s="15">
        <f t="shared" si="19"/>
        <v>81.589703058853047</v>
      </c>
      <c r="I141" s="15"/>
      <c r="J141" s="16"/>
      <c r="W141" s="5">
        <f t="shared" si="17"/>
        <v>0.13550000000000009</v>
      </c>
      <c r="X141">
        <f t="shared" si="16"/>
        <v>39972.500000000029</v>
      </c>
      <c r="Y141" s="4">
        <f ca="1"/>
        <v>0</v>
      </c>
      <c r="Z141" s="4">
        <v>3.4349204595159077E-7</v>
      </c>
      <c r="AA141" s="13">
        <v>97.719003479141975</v>
      </c>
      <c r="AG141" s="2"/>
    </row>
    <row r="142" spans="2:33">
      <c r="B142">
        <v>5</v>
      </c>
      <c r="C142">
        <v>1000</v>
      </c>
      <c r="D142" s="5">
        <v>0.03</v>
      </c>
      <c r="E142" s="2">
        <v>0.65</v>
      </c>
      <c r="F142" s="30">
        <f t="shared" si="18"/>
        <v>0.15</v>
      </c>
      <c r="G142" s="11">
        <f t="shared" si="15"/>
        <v>10.5</v>
      </c>
      <c r="H142" s="15">
        <f t="shared" si="19"/>
        <v>81.589703058853047</v>
      </c>
      <c r="I142" s="15"/>
      <c r="J142" s="16"/>
      <c r="W142" s="5">
        <f t="shared" si="17"/>
        <v>0.13650000000000009</v>
      </c>
      <c r="X142">
        <f t="shared" si="16"/>
        <v>40267.500000000029</v>
      </c>
      <c r="Y142" s="4">
        <f ca="1"/>
        <v>0</v>
      </c>
      <c r="Z142" s="4">
        <v>3.1094321169865337E-7</v>
      </c>
      <c r="AA142" s="13">
        <v>97.719003479141975</v>
      </c>
      <c r="AG142" s="2"/>
    </row>
    <row r="143" spans="2:33">
      <c r="B143">
        <v>5</v>
      </c>
      <c r="C143">
        <v>1000</v>
      </c>
      <c r="D143" s="5">
        <v>0.03</v>
      </c>
      <c r="E143" s="2">
        <v>0.65</v>
      </c>
      <c r="F143" s="30">
        <f t="shared" si="18"/>
        <v>0.15</v>
      </c>
      <c r="G143" s="11">
        <f t="shared" si="15"/>
        <v>10.5</v>
      </c>
      <c r="H143" s="15">
        <f t="shared" si="19"/>
        <v>81.589703058853047</v>
      </c>
      <c r="I143" s="15"/>
      <c r="J143" s="16"/>
      <c r="W143" s="5">
        <f t="shared" si="17"/>
        <v>0.13750000000000009</v>
      </c>
      <c r="X143">
        <f t="shared" si="16"/>
        <v>40562.500000000029</v>
      </c>
      <c r="Y143" s="4">
        <f ca="1"/>
        <v>0</v>
      </c>
      <c r="Z143" s="4">
        <v>2.81230428673149E-7</v>
      </c>
      <c r="AA143" s="13">
        <v>97.719003479141975</v>
      </c>
      <c r="AG143" s="2"/>
    </row>
    <row r="144" spans="2:33">
      <c r="B144">
        <v>5</v>
      </c>
      <c r="C144">
        <v>1000</v>
      </c>
      <c r="D144" s="5">
        <v>0.03</v>
      </c>
      <c r="E144" s="2">
        <v>0.65</v>
      </c>
      <c r="F144" s="30">
        <f t="shared" si="18"/>
        <v>0.15</v>
      </c>
      <c r="G144" s="11">
        <f t="shared" si="15"/>
        <v>10.5</v>
      </c>
      <c r="H144" s="15">
        <f t="shared" si="19"/>
        <v>81.589703058853047</v>
      </c>
      <c r="I144" s="15"/>
      <c r="J144" s="16"/>
      <c r="W144" s="5">
        <f t="shared" si="17"/>
        <v>0.1385000000000001</v>
      </c>
      <c r="X144">
        <f t="shared" si="16"/>
        <v>40857.500000000029</v>
      </c>
      <c r="Y144" s="4">
        <f ca="1"/>
        <v>0</v>
      </c>
      <c r="Z144" s="4">
        <v>2.5418647208241645E-7</v>
      </c>
      <c r="AA144" s="13">
        <v>97.719003479141975</v>
      </c>
      <c r="AG144" s="2"/>
    </row>
    <row r="145" spans="2:33">
      <c r="B145">
        <v>5</v>
      </c>
      <c r="C145">
        <v>1000</v>
      </c>
      <c r="D145" s="5">
        <v>0.03</v>
      </c>
      <c r="E145" s="2">
        <v>0.65</v>
      </c>
      <c r="F145" s="30">
        <f t="shared" si="18"/>
        <v>0.15</v>
      </c>
      <c r="G145" s="11">
        <f t="shared" si="15"/>
        <v>10.5</v>
      </c>
      <c r="H145" s="15">
        <f t="shared" si="19"/>
        <v>81.589703058853047</v>
      </c>
      <c r="I145" s="15"/>
      <c r="J145" s="16"/>
      <c r="W145" s="5">
        <f t="shared" si="17"/>
        <v>0.1395000000000001</v>
      </c>
      <c r="X145">
        <f t="shared" si="16"/>
        <v>41152.500000000029</v>
      </c>
      <c r="Y145" s="4">
        <f ca="1"/>
        <v>0</v>
      </c>
      <c r="Z145" s="4">
        <v>2.2964253357293085E-7</v>
      </c>
      <c r="AA145" s="13">
        <v>97.719003479141975</v>
      </c>
      <c r="AG145" s="2"/>
    </row>
    <row r="146" spans="2:33">
      <c r="B146">
        <v>5</v>
      </c>
      <c r="C146">
        <v>1000</v>
      </c>
      <c r="D146" s="5">
        <v>0.03</v>
      </c>
      <c r="E146" s="2">
        <v>0.65</v>
      </c>
      <c r="F146" s="30">
        <f t="shared" si="18"/>
        <v>0.15</v>
      </c>
      <c r="G146" s="11">
        <f t="shared" si="15"/>
        <v>10.5</v>
      </c>
      <c r="H146" s="15">
        <f t="shared" si="19"/>
        <v>81.589703058853047</v>
      </c>
      <c r="I146" s="15"/>
      <c r="J146" s="16"/>
      <c r="W146" s="5">
        <f t="shared" si="17"/>
        <v>0.1405000000000001</v>
      </c>
      <c r="X146">
        <f t="shared" si="16"/>
        <v>41447.500000000029</v>
      </c>
      <c r="Y146" s="4">
        <f ca="1"/>
        <v>0</v>
      </c>
      <c r="Z146" s="4">
        <v>2.0742979218031726E-7</v>
      </c>
      <c r="AA146" s="13">
        <v>97.719003479141975</v>
      </c>
      <c r="AG146" s="2"/>
    </row>
    <row r="147" spans="2:33">
      <c r="B147">
        <v>5</v>
      </c>
      <c r="C147">
        <v>1000</v>
      </c>
      <c r="D147" s="5">
        <v>0.03</v>
      </c>
      <c r="E147" s="2">
        <v>0.65</v>
      </c>
      <c r="F147" s="30">
        <f t="shared" si="18"/>
        <v>0.15</v>
      </c>
      <c r="G147" s="11">
        <f t="shared" si="15"/>
        <v>10.5</v>
      </c>
      <c r="H147" s="15">
        <f t="shared" si="19"/>
        <v>81.589703058853047</v>
      </c>
      <c r="I147" s="15"/>
      <c r="J147" s="16"/>
      <c r="W147" s="5">
        <f t="shared" si="17"/>
        <v>0.1415000000000001</v>
      </c>
      <c r="X147">
        <f t="shared" si="16"/>
        <v>41742.500000000029</v>
      </c>
      <c r="Y147" s="4">
        <f ca="1"/>
        <v>0</v>
      </c>
      <c r="Z147" s="4">
        <v>1.8738091648678485E-7</v>
      </c>
      <c r="AA147" s="13">
        <v>97.719003479141975</v>
      </c>
      <c r="AG147" s="2"/>
    </row>
    <row r="148" spans="2:33">
      <c r="B148">
        <v>5</v>
      </c>
      <c r="C148">
        <v>1000</v>
      </c>
      <c r="D148" s="5">
        <v>0.03</v>
      </c>
      <c r="E148" s="2">
        <v>0.65</v>
      </c>
      <c r="F148" s="30">
        <f t="shared" si="18"/>
        <v>0.15</v>
      </c>
      <c r="G148" s="11">
        <f t="shared" si="15"/>
        <v>10.5</v>
      </c>
      <c r="H148" s="15">
        <f t="shared" si="19"/>
        <v>81.589703058853047</v>
      </c>
      <c r="I148" s="15"/>
      <c r="J148" s="16"/>
      <c r="W148" s="5">
        <f t="shared" si="17"/>
        <v>0.1425000000000001</v>
      </c>
      <c r="X148">
        <f t="shared" si="16"/>
        <v>42037.500000000029</v>
      </c>
      <c r="Y148" s="4">
        <f ca="1"/>
        <v>0</v>
      </c>
      <c r="Z148" s="4">
        <v>1.6933146011981622E-7</v>
      </c>
      <c r="AA148" s="13">
        <v>97.719003479141975</v>
      </c>
      <c r="AG148" s="2"/>
    </row>
    <row r="149" spans="2:33">
      <c r="B149">
        <v>5</v>
      </c>
      <c r="C149">
        <v>1000</v>
      </c>
      <c r="D149" s="5">
        <v>0.03</v>
      </c>
      <c r="E149" s="2">
        <v>0.65</v>
      </c>
      <c r="F149" s="30">
        <f t="shared" si="18"/>
        <v>0.15</v>
      </c>
      <c r="G149" s="11">
        <f t="shared" si="15"/>
        <v>10.5</v>
      </c>
      <c r="H149" s="15">
        <f t="shared" si="19"/>
        <v>81.589703058853047</v>
      </c>
      <c r="I149" s="15"/>
      <c r="J149" s="16"/>
      <c r="W149" s="5">
        <f t="shared" si="17"/>
        <v>0.1435000000000001</v>
      </c>
      <c r="X149">
        <f t="shared" si="16"/>
        <v>42332.500000000029</v>
      </c>
      <c r="Y149" s="4">
        <f ca="1"/>
        <v>0</v>
      </c>
      <c r="Z149" s="4">
        <v>1.5312112295103774E-7</v>
      </c>
      <c r="AA149" s="13">
        <v>97.719003479141975</v>
      </c>
      <c r="AG149" s="2"/>
    </row>
    <row r="150" spans="2:33">
      <c r="B150">
        <v>5</v>
      </c>
      <c r="C150">
        <v>1000</v>
      </c>
      <c r="D150" s="5">
        <v>0.03</v>
      </c>
      <c r="E150" s="2">
        <v>0.65</v>
      </c>
      <c r="F150" s="30">
        <f t="shared" si="18"/>
        <v>0.15</v>
      </c>
      <c r="G150" s="11">
        <f t="shared" si="15"/>
        <v>10.5</v>
      </c>
      <c r="H150" s="15">
        <f t="shared" si="19"/>
        <v>81.589703040663153</v>
      </c>
      <c r="I150" s="15"/>
      <c r="J150" s="16"/>
      <c r="W150" s="5">
        <f t="shared" si="17"/>
        <v>0.1445000000000001</v>
      </c>
      <c r="X150">
        <f t="shared" si="16"/>
        <v>42627.500000000029</v>
      </c>
      <c r="Y150" s="4">
        <f ca="1"/>
        <v>0</v>
      </c>
      <c r="Z150" s="4">
        <v>1.3859485929555978E-7</v>
      </c>
      <c r="AA150" s="13">
        <v>97.719003479141975</v>
      </c>
      <c r="AG150" s="2"/>
    </row>
    <row r="151" spans="2:33">
      <c r="B151">
        <v>5</v>
      </c>
      <c r="C151">
        <v>1000</v>
      </c>
      <c r="D151" s="5">
        <v>0.03</v>
      </c>
      <c r="E151" s="2">
        <v>0.65</v>
      </c>
      <c r="F151" s="30">
        <f t="shared" si="18"/>
        <v>0.15</v>
      </c>
      <c r="G151" s="11">
        <f t="shared" si="15"/>
        <v>10.5</v>
      </c>
      <c r="H151" s="15">
        <f t="shared" si="19"/>
        <v>81.589703040663153</v>
      </c>
      <c r="I151" s="15"/>
      <c r="J151" s="16"/>
      <c r="W151" s="5">
        <f t="shared" si="17"/>
        <v>0.1455000000000001</v>
      </c>
      <c r="X151">
        <f t="shared" si="16"/>
        <v>42922.500000000029</v>
      </c>
      <c r="Y151" s="4">
        <f ca="1"/>
        <v>0</v>
      </c>
      <c r="Z151" s="4">
        <v>1.2560382212472741E-7</v>
      </c>
      <c r="AA151" s="13">
        <v>111.8877939916274</v>
      </c>
      <c r="AG151" s="2"/>
    </row>
    <row r="152" spans="2:33">
      <c r="B152">
        <v>5</v>
      </c>
      <c r="C152">
        <v>1000</v>
      </c>
      <c r="D152" s="5">
        <v>0.03</v>
      </c>
      <c r="E152" s="2">
        <v>0.65</v>
      </c>
      <c r="F152" s="30">
        <f t="shared" si="18"/>
        <v>0.15</v>
      </c>
      <c r="G152" s="11">
        <f t="shared" si="15"/>
        <v>10.5</v>
      </c>
      <c r="H152" s="15">
        <f t="shared" si="19"/>
        <v>81.589703040663153</v>
      </c>
      <c r="I152" s="15"/>
      <c r="J152" s="16"/>
      <c r="W152" s="5">
        <f t="shared" si="17"/>
        <v>0.1465000000000001</v>
      </c>
      <c r="X152">
        <f t="shared" si="16"/>
        <v>43217.500000000029</v>
      </c>
      <c r="Y152" s="4">
        <f ca="1"/>
        <v>0</v>
      </c>
      <c r="Z152" s="4">
        <v>1.1400613885306743E-7</v>
      </c>
      <c r="AA152" s="13">
        <v>111.8877939916274</v>
      </c>
      <c r="AG152" s="2"/>
    </row>
    <row r="153" spans="2:33">
      <c r="B153">
        <v>5</v>
      </c>
      <c r="C153">
        <v>1000</v>
      </c>
      <c r="D153" s="5">
        <v>0.03</v>
      </c>
      <c r="E153" s="2">
        <v>0.65</v>
      </c>
      <c r="F153" s="30">
        <f t="shared" si="18"/>
        <v>0.15</v>
      </c>
      <c r="G153" s="11">
        <f t="shared" si="15"/>
        <v>10.5</v>
      </c>
      <c r="H153" s="15">
        <f t="shared" si="19"/>
        <v>81.589703040663153</v>
      </c>
      <c r="I153" s="15"/>
      <c r="J153" s="16"/>
      <c r="W153" s="5">
        <f t="shared" si="17"/>
        <v>0.1475000000000001</v>
      </c>
      <c r="X153">
        <f t="shared" si="16"/>
        <v>43512.500000000029</v>
      </c>
      <c r="Y153" s="4">
        <f ca="1"/>
        <v>0</v>
      </c>
      <c r="Z153" s="4">
        <v>1.036675197140031E-7</v>
      </c>
      <c r="AA153" s="13">
        <v>111.8877939916274</v>
      </c>
      <c r="AG153" s="2"/>
    </row>
    <row r="154" spans="2:33">
      <c r="B154">
        <v>5</v>
      </c>
      <c r="C154">
        <v>1000</v>
      </c>
      <c r="D154" s="5">
        <v>0.03</v>
      </c>
      <c r="E154" s="2">
        <v>0.65</v>
      </c>
      <c r="F154" s="30">
        <f t="shared" si="18"/>
        <v>0.15</v>
      </c>
      <c r="G154" s="11">
        <f t="shared" si="15"/>
        <v>10.5</v>
      </c>
      <c r="H154" s="15">
        <f t="shared" si="19"/>
        <v>81.589703040663153</v>
      </c>
      <c r="I154" s="15"/>
      <c r="J154" s="16"/>
      <c r="W154" s="5">
        <f t="shared" si="17"/>
        <v>0.1485000000000001</v>
      </c>
      <c r="X154">
        <f t="shared" si="16"/>
        <v>43807.500000000029</v>
      </c>
      <c r="Y154" s="4">
        <f ca="1"/>
        <v>0</v>
      </c>
      <c r="Z154" s="4">
        <v>9.4461704174903013E-8</v>
      </c>
      <c r="AA154" s="13">
        <v>111.8877939916274</v>
      </c>
      <c r="AG154" s="2"/>
    </row>
    <row r="155" spans="2:33">
      <c r="B155">
        <v>6</v>
      </c>
      <c r="C155">
        <v>1000</v>
      </c>
      <c r="D155" s="5">
        <v>0.04</v>
      </c>
      <c r="E155" s="2">
        <v>0.65</v>
      </c>
      <c r="F155" s="30">
        <f t="shared" si="18"/>
        <v>0.15</v>
      </c>
      <c r="G155" s="11">
        <f t="shared" si="15"/>
        <v>14</v>
      </c>
      <c r="H155" s="15">
        <f t="shared" si="19"/>
        <v>97.719003479141975</v>
      </c>
      <c r="I155" s="15"/>
      <c r="J155" s="16"/>
      <c r="W155" s="5">
        <f t="shared" si="17"/>
        <v>0.14950000000000011</v>
      </c>
      <c r="X155">
        <f t="shared" si="16"/>
        <v>44102.500000000029</v>
      </c>
      <c r="Y155" s="4">
        <f ca="1"/>
        <v>0</v>
      </c>
      <c r="Z155" s="4">
        <v>8.6270754340877716E-8</v>
      </c>
      <c r="AA155" s="13">
        <v>111.8877939916274</v>
      </c>
      <c r="AG155" s="2"/>
    </row>
    <row r="156" spans="2:33">
      <c r="B156">
        <v>6</v>
      </c>
      <c r="C156">
        <v>1000</v>
      </c>
      <c r="D156" s="5">
        <v>0.04</v>
      </c>
      <c r="E156" s="2">
        <v>0.65</v>
      </c>
      <c r="F156" s="30">
        <f t="shared" si="18"/>
        <v>0.15</v>
      </c>
      <c r="G156" s="11">
        <f t="shared" si="15"/>
        <v>14</v>
      </c>
      <c r="H156" s="15">
        <f t="shared" si="19"/>
        <v>97.719003479141975</v>
      </c>
      <c r="I156" s="15"/>
      <c r="J156" s="16"/>
      <c r="W156" s="5">
        <f t="shared" si="17"/>
        <v>0.15050000000000011</v>
      </c>
      <c r="X156">
        <f t="shared" si="16"/>
        <v>44397.500000000029</v>
      </c>
      <c r="Y156" s="4">
        <f ca="1"/>
        <v>0</v>
      </c>
      <c r="Z156" s="4">
        <v>7.8985206942471956E-8</v>
      </c>
      <c r="AA156" s="13">
        <v>111.8877939916274</v>
      </c>
      <c r="AG156" s="2"/>
    </row>
    <row r="157" spans="2:33">
      <c r="B157">
        <v>6</v>
      </c>
      <c r="C157">
        <v>1000</v>
      </c>
      <c r="D157" s="5">
        <v>0.04</v>
      </c>
      <c r="E157" s="2">
        <v>0.65</v>
      </c>
      <c r="F157" s="30">
        <f t="shared" si="18"/>
        <v>0.15</v>
      </c>
      <c r="G157" s="11">
        <f t="shared" si="15"/>
        <v>14</v>
      </c>
      <c r="H157" s="15">
        <f t="shared" si="19"/>
        <v>97.719003479141975</v>
      </c>
      <c r="I157" s="15"/>
      <c r="J157" s="16"/>
      <c r="W157" s="5">
        <f t="shared" si="17"/>
        <v>0.15150000000000011</v>
      </c>
      <c r="X157">
        <f t="shared" si="16"/>
        <v>44692.500000000029</v>
      </c>
      <c r="Y157" s="4">
        <f ca="1"/>
        <v>0</v>
      </c>
      <c r="Z157" s="4">
        <v>7.2504097381410843E-8</v>
      </c>
      <c r="AA157" s="13">
        <v>111.8877939916274</v>
      </c>
      <c r="AG157" s="2"/>
    </row>
    <row r="158" spans="2:33">
      <c r="B158">
        <v>6</v>
      </c>
      <c r="C158">
        <v>1000</v>
      </c>
      <c r="D158" s="5">
        <v>0.04</v>
      </c>
      <c r="E158" s="2">
        <v>0.65</v>
      </c>
      <c r="F158" s="30">
        <f t="shared" si="18"/>
        <v>0.15</v>
      </c>
      <c r="G158" s="11">
        <f t="shared" si="15"/>
        <v>14</v>
      </c>
      <c r="H158" s="15">
        <f t="shared" si="19"/>
        <v>97.719003479141975</v>
      </c>
      <c r="I158" s="15"/>
      <c r="J158" s="16"/>
      <c r="W158" s="5">
        <f t="shared" si="17"/>
        <v>0.15250000000000011</v>
      </c>
      <c r="X158">
        <f t="shared" si="16"/>
        <v>44987.500000000029</v>
      </c>
      <c r="Y158" s="4">
        <f ca="1"/>
        <v>0</v>
      </c>
      <c r="Z158" s="4">
        <v>6.6734870508423639E-8</v>
      </c>
      <c r="AA158" s="13">
        <v>111.8877939916274</v>
      </c>
      <c r="AG158" s="2"/>
    </row>
    <row r="159" spans="2:33">
      <c r="B159">
        <v>6</v>
      </c>
      <c r="C159">
        <v>1000</v>
      </c>
      <c r="D159" s="5">
        <v>0.04</v>
      </c>
      <c r="E159" s="2">
        <v>0.65</v>
      </c>
      <c r="F159" s="30">
        <f t="shared" si="18"/>
        <v>0.15</v>
      </c>
      <c r="G159" s="11">
        <f t="shared" si="15"/>
        <v>14</v>
      </c>
      <c r="H159" s="15">
        <f t="shared" si="19"/>
        <v>97.719003479141975</v>
      </c>
      <c r="I159" s="15"/>
      <c r="J159" s="16"/>
      <c r="W159" s="5">
        <f t="shared" si="17"/>
        <v>0.15350000000000011</v>
      </c>
      <c r="X159">
        <f t="shared" si="16"/>
        <v>45282.500000000029</v>
      </c>
      <c r="Y159" s="4">
        <f ca="1"/>
        <v>0</v>
      </c>
      <c r="Z159" s="4">
        <v>6.1593193415409865E-8</v>
      </c>
      <c r="AA159" s="13">
        <v>111.8877939916274</v>
      </c>
      <c r="AG159" s="2"/>
    </row>
    <row r="160" spans="2:33">
      <c r="B160">
        <v>6</v>
      </c>
      <c r="C160">
        <v>1000</v>
      </c>
      <c r="D160" s="5">
        <v>0.04</v>
      </c>
      <c r="E160" s="2">
        <v>0.65</v>
      </c>
      <c r="F160" s="30">
        <f t="shared" si="18"/>
        <v>0.15</v>
      </c>
      <c r="G160" s="11">
        <f t="shared" si="15"/>
        <v>14</v>
      </c>
      <c r="H160" s="15">
        <f t="shared" si="19"/>
        <v>97.719003479141975</v>
      </c>
      <c r="I160" s="15"/>
      <c r="J160" s="16"/>
      <c r="W160" s="5">
        <f t="shared" si="17"/>
        <v>0.15450000000000011</v>
      </c>
      <c r="X160">
        <f t="shared" si="16"/>
        <v>45577.500000000029</v>
      </c>
      <c r="Y160" s="4">
        <f ca="1"/>
        <v>0</v>
      </c>
      <c r="Z160" s="4">
        <v>5.7002685626924157E-8</v>
      </c>
      <c r="AA160" s="13">
        <v>111.8877939916274</v>
      </c>
      <c r="AG160" s="2"/>
    </row>
    <row r="161" spans="2:33">
      <c r="B161">
        <v>6</v>
      </c>
      <c r="C161">
        <v>1000</v>
      </c>
      <c r="D161" s="5">
        <v>0.04</v>
      </c>
      <c r="E161" s="2">
        <v>0.65</v>
      </c>
      <c r="F161" s="30">
        <f t="shared" si="18"/>
        <v>0.15</v>
      </c>
      <c r="G161" s="11">
        <f t="shared" si="15"/>
        <v>14</v>
      </c>
      <c r="H161" s="15">
        <f t="shared" si="19"/>
        <v>97.719003479141975</v>
      </c>
      <c r="I161" s="15"/>
      <c r="J161" s="16"/>
      <c r="W161" s="5">
        <f t="shared" si="17"/>
        <v>0.15550000000000011</v>
      </c>
      <c r="X161">
        <f t="shared" si="16"/>
        <v>45872.500000000029</v>
      </c>
      <c r="Y161" s="4">
        <f ca="1"/>
        <v>0</v>
      </c>
      <c r="Z161" s="4">
        <v>5.289458175635054E-8</v>
      </c>
      <c r="AA161" s="13">
        <v>165.40435066417558</v>
      </c>
      <c r="AG161" s="2"/>
    </row>
    <row r="162" spans="2:33">
      <c r="B162">
        <v>6</v>
      </c>
      <c r="C162">
        <v>1000</v>
      </c>
      <c r="D162" s="5">
        <v>0.04</v>
      </c>
      <c r="E162" s="2">
        <v>0.65</v>
      </c>
      <c r="F162" s="30">
        <f t="shared" si="18"/>
        <v>0.15</v>
      </c>
      <c r="G162" s="11">
        <f t="shared" si="15"/>
        <v>14</v>
      </c>
      <c r="H162" s="15">
        <f t="shared" si="19"/>
        <v>97.719003479141975</v>
      </c>
      <c r="I162" s="15"/>
      <c r="J162" s="16"/>
      <c r="W162" s="5">
        <f t="shared" si="17"/>
        <v>0.15650000000000011</v>
      </c>
      <c r="X162">
        <f t="shared" si="16"/>
        <v>46167.500000000036</v>
      </c>
      <c r="Y162" s="4">
        <f ca="1"/>
        <v>0</v>
      </c>
      <c r="Z162" s="4">
        <v>4.92073410290516E-8</v>
      </c>
      <c r="AA162" s="13">
        <v>165.40435066417558</v>
      </c>
      <c r="AG162" s="2"/>
    </row>
    <row r="163" spans="2:33">
      <c r="B163">
        <v>6</v>
      </c>
      <c r="C163">
        <v>1000</v>
      </c>
      <c r="D163" s="5">
        <v>0.04</v>
      </c>
      <c r="E163" s="2">
        <v>0.65</v>
      </c>
      <c r="F163" s="30">
        <f t="shared" si="18"/>
        <v>0.15</v>
      </c>
      <c r="G163" s="11">
        <f t="shared" si="15"/>
        <v>14</v>
      </c>
      <c r="H163" s="15">
        <f t="shared" si="19"/>
        <v>97.719003479141975</v>
      </c>
      <c r="I163" s="15"/>
      <c r="J163" s="16"/>
      <c r="W163" s="5">
        <f t="shared" si="17"/>
        <v>0.15750000000000011</v>
      </c>
      <c r="X163">
        <f t="shared" si="16"/>
        <v>46462.500000000036</v>
      </c>
      <c r="Y163" s="4">
        <f ca="1"/>
        <v>0</v>
      </c>
      <c r="Z163" s="4">
        <v>4.5886217141150184E-8</v>
      </c>
      <c r="AA163" s="13">
        <v>165.40435066417558</v>
      </c>
      <c r="AG163" s="2"/>
    </row>
    <row r="164" spans="2:33">
      <c r="B164">
        <v>6</v>
      </c>
      <c r="C164">
        <v>1000</v>
      </c>
      <c r="D164" s="5">
        <v>0.04</v>
      </c>
      <c r="E164" s="2">
        <v>0.65</v>
      </c>
      <c r="F164" s="30">
        <f t="shared" si="18"/>
        <v>0.15</v>
      </c>
      <c r="G164" s="11">
        <f t="shared" si="15"/>
        <v>14</v>
      </c>
      <c r="H164" s="15">
        <f t="shared" si="19"/>
        <v>97.719003479141975</v>
      </c>
      <c r="I164" s="15"/>
      <c r="J164" s="16"/>
      <c r="W164" s="5">
        <f t="shared" si="17"/>
        <v>0.15850000000000011</v>
      </c>
      <c r="X164">
        <f t="shared" si="16"/>
        <v>46757.500000000036</v>
      </c>
      <c r="Y164" s="4">
        <f ca="1"/>
        <v>0</v>
      </c>
      <c r="Z164" s="4">
        <v>4.288280078381331E-8</v>
      </c>
      <c r="AA164" s="13">
        <v>165.40435066417558</v>
      </c>
      <c r="AG164" s="2"/>
    </row>
    <row r="165" spans="2:33">
      <c r="B165">
        <v>6</v>
      </c>
      <c r="C165">
        <v>1000</v>
      </c>
      <c r="D165" s="5">
        <v>0.04</v>
      </c>
      <c r="E165" s="2">
        <v>0.65</v>
      </c>
      <c r="F165" s="30">
        <f t="shared" si="18"/>
        <v>0.15</v>
      </c>
      <c r="G165" s="11">
        <f t="shared" si="15"/>
        <v>14</v>
      </c>
      <c r="H165" s="15">
        <f t="shared" si="19"/>
        <v>97.719003479141975</v>
      </c>
      <c r="I165" s="15"/>
      <c r="J165" s="16"/>
      <c r="W165" s="5">
        <f t="shared" si="17"/>
        <v>0.15950000000000011</v>
      </c>
      <c r="X165">
        <f t="shared" si="16"/>
        <v>47052.500000000036</v>
      </c>
      <c r="Y165" s="4">
        <f ca="1"/>
        <v>0</v>
      </c>
      <c r="Z165" s="4">
        <v>4.015454587505888E-8</v>
      </c>
      <c r="AA165" s="13">
        <v>165.40435066417558</v>
      </c>
    </row>
    <row r="166" spans="2:33">
      <c r="B166">
        <v>6</v>
      </c>
      <c r="C166">
        <v>1000</v>
      </c>
      <c r="D166" s="5">
        <v>0.04</v>
      </c>
      <c r="E166" s="2">
        <v>0.65</v>
      </c>
      <c r="F166" s="30">
        <f t="shared" si="18"/>
        <v>0.15</v>
      </c>
      <c r="G166" s="11">
        <f t="shared" si="15"/>
        <v>14</v>
      </c>
      <c r="H166" s="15">
        <f t="shared" si="19"/>
        <v>97.719003479141975</v>
      </c>
      <c r="I166" s="15"/>
      <c r="J166" s="16"/>
      <c r="W166" s="5">
        <f t="shared" si="17"/>
        <v>0.16050000000000011</v>
      </c>
      <c r="X166">
        <f t="shared" si="16"/>
        <v>47347.500000000036</v>
      </c>
      <c r="Y166" s="4">
        <f ca="1"/>
        <v>0</v>
      </c>
      <c r="Z166" s="4">
        <v>3.7664289148863263E-8</v>
      </c>
      <c r="AA166" s="13">
        <v>0</v>
      </c>
    </row>
    <row r="167" spans="2:33">
      <c r="B167">
        <v>6</v>
      </c>
      <c r="C167">
        <v>1000</v>
      </c>
      <c r="D167" s="5">
        <v>0.04</v>
      </c>
      <c r="E167" s="2">
        <v>0.65</v>
      </c>
      <c r="F167" s="30">
        <f t="shared" si="18"/>
        <v>0.15</v>
      </c>
      <c r="G167" s="11">
        <f t="shared" si="15"/>
        <v>14</v>
      </c>
      <c r="H167" s="15">
        <f t="shared" si="19"/>
        <v>97.719003479141975</v>
      </c>
      <c r="I167" s="15"/>
      <c r="J167" s="16"/>
      <c r="W167" s="5">
        <f t="shared" si="17"/>
        <v>0.16150000000000012</v>
      </c>
      <c r="X167">
        <f t="shared" si="16"/>
        <v>47642.500000000036</v>
      </c>
      <c r="Y167" s="4">
        <f ca="1"/>
        <v>0</v>
      </c>
      <c r="Z167" s="4">
        <v>3.5379774246649599E-8</v>
      </c>
      <c r="AA167" s="13">
        <v>0</v>
      </c>
    </row>
    <row r="168" spans="2:33">
      <c r="B168">
        <v>6</v>
      </c>
      <c r="C168">
        <v>1000</v>
      </c>
      <c r="D168" s="5">
        <v>0.04</v>
      </c>
      <c r="E168" s="2">
        <v>0.65</v>
      </c>
      <c r="F168" s="30">
        <f t="shared" ref="F168:F199" si="20">$C$16</f>
        <v>0.15</v>
      </c>
      <c r="G168" s="11">
        <f t="shared" si="15"/>
        <v>14</v>
      </c>
      <c r="H168" s="15">
        <f t="shared" ref="H168:H199" si="21">AA134</f>
        <v>97.719003479141975</v>
      </c>
      <c r="I168" s="15"/>
      <c r="J168" s="16"/>
      <c r="W168" s="5">
        <f t="shared" si="17"/>
        <v>0.16250000000000012</v>
      </c>
      <c r="X168">
        <f t="shared" si="16"/>
        <v>47937.500000000036</v>
      </c>
      <c r="Y168" s="4">
        <f ca="1"/>
        <v>0</v>
      </c>
      <c r="Z168" s="4">
        <v>3.327319015622461E-8</v>
      </c>
      <c r="AA168" s="13">
        <v>0</v>
      </c>
    </row>
    <row r="169" spans="2:33">
      <c r="B169">
        <v>6</v>
      </c>
      <c r="C169">
        <v>1000</v>
      </c>
      <c r="D169" s="5">
        <v>0.04</v>
      </c>
      <c r="E169" s="2">
        <v>0.65</v>
      </c>
      <c r="F169" s="30">
        <f t="shared" si="20"/>
        <v>0.15</v>
      </c>
      <c r="G169" s="11">
        <f t="shared" ref="G169:G199" si="22">C169*D169*(1-E169)</f>
        <v>14</v>
      </c>
      <c r="H169" s="15">
        <f t="shared" si="21"/>
        <v>97.719003479141975</v>
      </c>
      <c r="I169" s="15"/>
      <c r="J169" s="16"/>
      <c r="W169" s="5">
        <f t="shared" si="17"/>
        <v>0.16350000000000012</v>
      </c>
      <c r="X169">
        <f t="shared" si="16"/>
        <v>48232.500000000036</v>
      </c>
      <c r="Y169" s="4">
        <f ca="1"/>
        <v>0</v>
      </c>
      <c r="Z169" s="4">
        <v>3.1320708456562074E-8</v>
      </c>
      <c r="AA169" s="13">
        <v>0</v>
      </c>
    </row>
    <row r="170" spans="2:33">
      <c r="B170">
        <v>6</v>
      </c>
      <c r="C170">
        <v>1000</v>
      </c>
      <c r="D170" s="5">
        <v>0.04</v>
      </c>
      <c r="E170" s="2">
        <v>0.65</v>
      </c>
      <c r="F170" s="30">
        <f t="shared" si="20"/>
        <v>0.15</v>
      </c>
      <c r="G170" s="11">
        <f t="shared" si="22"/>
        <v>14</v>
      </c>
      <c r="H170" s="15">
        <f t="shared" si="21"/>
        <v>97.719003479141975</v>
      </c>
      <c r="I170" s="15"/>
      <c r="J170" s="16"/>
      <c r="W170" s="5">
        <f t="shared" si="17"/>
        <v>0.16450000000000012</v>
      </c>
      <c r="X170">
        <f t="shared" si="16"/>
        <v>48527.500000000036</v>
      </c>
      <c r="Y170" s="4">
        <f ca="1"/>
        <v>0</v>
      </c>
      <c r="Z170" s="4">
        <v>2.9502050342612742E-8</v>
      </c>
      <c r="AA170" s="13">
        <v>0</v>
      </c>
    </row>
    <row r="171" spans="2:33">
      <c r="B171">
        <v>6</v>
      </c>
      <c r="C171">
        <v>1000</v>
      </c>
      <c r="D171" s="5">
        <v>0.04</v>
      </c>
      <c r="E171" s="2">
        <v>0.65</v>
      </c>
      <c r="F171" s="30">
        <f t="shared" si="20"/>
        <v>0.15</v>
      </c>
      <c r="G171" s="11">
        <f t="shared" si="22"/>
        <v>14</v>
      </c>
      <c r="H171" s="15">
        <f t="shared" si="21"/>
        <v>97.719003479141975</v>
      </c>
      <c r="I171" s="15"/>
      <c r="J171" s="16"/>
      <c r="W171" s="5">
        <f t="shared" si="17"/>
        <v>0.16550000000000012</v>
      </c>
      <c r="X171">
        <f t="shared" si="16"/>
        <v>48822.500000000036</v>
      </c>
      <c r="Y171" s="4">
        <f ca="1"/>
        <v>0</v>
      </c>
      <c r="Z171" s="4">
        <v>2.7800083134535991E-8</v>
      </c>
      <c r="AA171" s="13">
        <v>0</v>
      </c>
    </row>
    <row r="172" spans="2:33">
      <c r="B172">
        <v>6</v>
      </c>
      <c r="C172">
        <v>1000</v>
      </c>
      <c r="D172" s="5">
        <v>0.04</v>
      </c>
      <c r="E172" s="2">
        <v>0.65</v>
      </c>
      <c r="F172" s="30">
        <f t="shared" si="20"/>
        <v>0.15</v>
      </c>
      <c r="G172" s="11">
        <f t="shared" si="22"/>
        <v>14</v>
      </c>
      <c r="H172" s="15">
        <f t="shared" si="21"/>
        <v>97.719003479141975</v>
      </c>
      <c r="I172" s="15"/>
      <c r="J172" s="16"/>
      <c r="W172" s="5">
        <f t="shared" si="17"/>
        <v>0.16650000000000012</v>
      </c>
      <c r="X172">
        <f t="shared" si="16"/>
        <v>49117.500000000036</v>
      </c>
      <c r="Y172" s="4">
        <f ca="1"/>
        <v>0</v>
      </c>
      <c r="Z172" s="4">
        <v>2.620043615046371E-8</v>
      </c>
      <c r="AA172" s="13">
        <v>0</v>
      </c>
    </row>
    <row r="173" spans="2:33">
      <c r="B173">
        <v>6</v>
      </c>
      <c r="C173">
        <v>1000</v>
      </c>
      <c r="D173" s="5">
        <v>0.04</v>
      </c>
      <c r="E173" s="2">
        <v>0.65</v>
      </c>
      <c r="F173" s="30">
        <f t="shared" si="20"/>
        <v>0.15</v>
      </c>
      <c r="G173" s="11">
        <f t="shared" si="22"/>
        <v>14</v>
      </c>
      <c r="H173" s="15">
        <f t="shared" si="21"/>
        <v>97.719003479141975</v>
      </c>
      <c r="I173" s="15"/>
      <c r="J173" s="16"/>
      <c r="W173" s="5">
        <f t="shared" si="17"/>
        <v>0.16750000000000012</v>
      </c>
      <c r="X173">
        <f t="shared" si="16"/>
        <v>49412.500000000036</v>
      </c>
      <c r="Y173" s="4">
        <f ca="1"/>
        <v>0</v>
      </c>
      <c r="Z173" s="4">
        <v>2.4691144819584218E-8</v>
      </c>
      <c r="AA173" s="13">
        <v>0</v>
      </c>
    </row>
    <row r="174" spans="2:33">
      <c r="B174">
        <v>6</v>
      </c>
      <c r="C174">
        <v>1000</v>
      </c>
      <c r="D174" s="5">
        <v>0.04</v>
      </c>
      <c r="E174" s="2">
        <v>0.65</v>
      </c>
      <c r="F174" s="30">
        <f t="shared" si="20"/>
        <v>0.15</v>
      </c>
      <c r="G174" s="11">
        <f t="shared" si="22"/>
        <v>14</v>
      </c>
      <c r="H174" s="15">
        <f t="shared" si="21"/>
        <v>97.719003479141975</v>
      </c>
      <c r="I174" s="15"/>
      <c r="W174" s="5">
        <f t="shared" si="17"/>
        <v>0.16850000000000012</v>
      </c>
      <c r="X174">
        <f t="shared" si="16"/>
        <v>49707.500000000036</v>
      </c>
      <c r="Y174" s="4">
        <f ca="1"/>
        <v>0</v>
      </c>
      <c r="Z174" s="4">
        <v>2.3262323698893165E-8</v>
      </c>
      <c r="AA174" s="13">
        <v>0</v>
      </c>
    </row>
    <row r="175" spans="2:33">
      <c r="B175">
        <v>6</v>
      </c>
      <c r="C175">
        <v>1000</v>
      </c>
      <c r="D175" s="5">
        <v>0.04</v>
      </c>
      <c r="E175" s="2">
        <v>0.65</v>
      </c>
      <c r="F175" s="30">
        <f t="shared" si="20"/>
        <v>0.15</v>
      </c>
      <c r="G175" s="11">
        <f t="shared" si="22"/>
        <v>14</v>
      </c>
      <c r="H175" s="15">
        <f t="shared" si="21"/>
        <v>97.719003479141975</v>
      </c>
      <c r="I175" s="15"/>
      <c r="W175" s="5">
        <f t="shared" si="17"/>
        <v>0.16950000000000012</v>
      </c>
      <c r="X175">
        <f t="shared" si="16"/>
        <v>50002.500000000036</v>
      </c>
      <c r="Y175" s="4">
        <f ca="1"/>
        <v>0</v>
      </c>
      <c r="Z175" s="4">
        <v>2.190586848720757E-8</v>
      </c>
      <c r="AA175" s="13">
        <v>0</v>
      </c>
    </row>
    <row r="176" spans="2:33">
      <c r="B176">
        <v>6</v>
      </c>
      <c r="C176">
        <v>1000</v>
      </c>
      <c r="D176" s="5">
        <v>0.04</v>
      </c>
      <c r="E176" s="2">
        <v>0.65</v>
      </c>
      <c r="F176" s="30">
        <f t="shared" si="20"/>
        <v>0.15</v>
      </c>
      <c r="G176" s="11">
        <f t="shared" si="22"/>
        <v>14</v>
      </c>
      <c r="H176" s="15">
        <f t="shared" si="21"/>
        <v>97.719003479141975</v>
      </c>
      <c r="I176" s="15"/>
      <c r="W176" s="5">
        <f t="shared" si="17"/>
        <v>0.17050000000000012</v>
      </c>
      <c r="X176">
        <f t="shared" si="16"/>
        <v>50297.500000000036</v>
      </c>
      <c r="Y176" s="4">
        <f ca="1"/>
        <v>0</v>
      </c>
      <c r="Z176" s="4">
        <v>2.0615186635692754E-8</v>
      </c>
      <c r="AA176" s="13">
        <v>0</v>
      </c>
    </row>
    <row r="177" spans="2:27">
      <c r="B177">
        <v>6</v>
      </c>
      <c r="C177">
        <v>1000</v>
      </c>
      <c r="D177" s="5">
        <v>0.04</v>
      </c>
      <c r="E177" s="2">
        <v>0.65</v>
      </c>
      <c r="F177" s="30">
        <f t="shared" si="20"/>
        <v>0.15</v>
      </c>
      <c r="G177" s="11">
        <f t="shared" si="22"/>
        <v>14</v>
      </c>
      <c r="H177" s="15">
        <f t="shared" si="21"/>
        <v>97.719003479141975</v>
      </c>
      <c r="I177" s="15"/>
      <c r="W177" s="5">
        <f t="shared" si="17"/>
        <v>0.17150000000000012</v>
      </c>
      <c r="X177">
        <f t="shared" si="16"/>
        <v>50592.500000000036</v>
      </c>
      <c r="Y177" s="4">
        <f ca="1"/>
        <v>0</v>
      </c>
      <c r="Z177" s="4">
        <v>1.9384955742029595E-8</v>
      </c>
      <c r="AA177" s="13">
        <v>0</v>
      </c>
    </row>
    <row r="178" spans="2:27">
      <c r="B178">
        <v>6</v>
      </c>
      <c r="C178">
        <v>1000</v>
      </c>
      <c r="D178" s="5">
        <v>0.04</v>
      </c>
      <c r="E178" s="2">
        <v>0.65</v>
      </c>
      <c r="F178" s="30">
        <f t="shared" si="20"/>
        <v>0.15</v>
      </c>
      <c r="G178" s="11">
        <f t="shared" si="22"/>
        <v>14</v>
      </c>
      <c r="H178" s="15">
        <f t="shared" si="21"/>
        <v>97.719003479141975</v>
      </c>
      <c r="I178" s="15"/>
      <c r="W178" s="5">
        <f t="shared" si="17"/>
        <v>0.17250000000000013</v>
      </c>
      <c r="X178">
        <f t="shared" si="16"/>
        <v>50887.500000000036</v>
      </c>
      <c r="Y178" s="4">
        <f ca="1"/>
        <v>0</v>
      </c>
      <c r="Z178" s="4">
        <v>1.8210908585526788E-8</v>
      </c>
      <c r="AA178" s="13">
        <v>0</v>
      </c>
    </row>
    <row r="179" spans="2:27">
      <c r="B179">
        <v>6</v>
      </c>
      <c r="C179">
        <v>1000</v>
      </c>
      <c r="D179" s="5">
        <v>0.04</v>
      </c>
      <c r="E179" s="2">
        <v>0.65</v>
      </c>
      <c r="F179" s="30">
        <f t="shared" si="20"/>
        <v>0.15</v>
      </c>
      <c r="G179" s="11">
        <f t="shared" si="22"/>
        <v>14</v>
      </c>
      <c r="H179" s="15">
        <f t="shared" si="21"/>
        <v>97.719003479141975</v>
      </c>
      <c r="I179" s="15"/>
      <c r="W179" s="5">
        <f t="shared" si="17"/>
        <v>0.17350000000000013</v>
      </c>
      <c r="X179">
        <f t="shared" si="16"/>
        <v>51182.500000000036</v>
      </c>
      <c r="Y179" s="4">
        <f ca="1"/>
        <v>0</v>
      </c>
      <c r="Z179" s="4">
        <v>1.7089643408731753E-8</v>
      </c>
      <c r="AA179" s="13">
        <v>0</v>
      </c>
    </row>
    <row r="180" spans="2:27">
      <c r="B180">
        <v>6</v>
      </c>
      <c r="C180">
        <v>1000</v>
      </c>
      <c r="D180" s="5">
        <v>0.04</v>
      </c>
      <c r="E180" s="2">
        <v>0.65</v>
      </c>
      <c r="F180" s="30">
        <f t="shared" si="20"/>
        <v>0.15</v>
      </c>
      <c r="G180" s="11">
        <f t="shared" si="22"/>
        <v>14</v>
      </c>
      <c r="H180" s="15">
        <f t="shared" si="21"/>
        <v>97.719003479141975</v>
      </c>
      <c r="I180" s="15"/>
      <c r="W180" s="5">
        <f t="shared" si="17"/>
        <v>0.17450000000000013</v>
      </c>
      <c r="X180">
        <f t="shared" si="16"/>
        <v>51477.500000000036</v>
      </c>
      <c r="Y180" s="4">
        <f ca="1"/>
        <v>0</v>
      </c>
      <c r="Z180" s="4">
        <v>1.6018457870572276E-8</v>
      </c>
      <c r="AA180" s="13">
        <v>0</v>
      </c>
    </row>
    <row r="181" spans="2:27">
      <c r="B181">
        <v>6</v>
      </c>
      <c r="C181">
        <v>1000</v>
      </c>
      <c r="D181" s="5">
        <v>0.04</v>
      </c>
      <c r="E181" s="2">
        <v>0.65</v>
      </c>
      <c r="F181" s="30">
        <f t="shared" si="20"/>
        <v>0.15</v>
      </c>
      <c r="G181" s="11">
        <f t="shared" si="22"/>
        <v>14</v>
      </c>
      <c r="H181" s="15">
        <f t="shared" si="21"/>
        <v>97.719003479141975</v>
      </c>
      <c r="I181" s="15"/>
      <c r="W181" s="5">
        <f t="shared" si="17"/>
        <v>0.17550000000000013</v>
      </c>
      <c r="X181">
        <f t="shared" si="16"/>
        <v>51772.500000000036</v>
      </c>
      <c r="Y181" s="4">
        <f ca="1"/>
        <v>0</v>
      </c>
      <c r="Z181" s="4">
        <v>1.4995204978514396E-8</v>
      </c>
      <c r="AA181" s="13">
        <v>0</v>
      </c>
    </row>
    <row r="182" spans="2:27">
      <c r="B182">
        <v>6</v>
      </c>
      <c r="C182">
        <v>1000</v>
      </c>
      <c r="D182" s="5">
        <v>0.04</v>
      </c>
      <c r="E182" s="2">
        <v>0.65</v>
      </c>
      <c r="F182" s="30">
        <f t="shared" si="20"/>
        <v>0.15</v>
      </c>
      <c r="G182" s="11">
        <f t="shared" si="22"/>
        <v>14</v>
      </c>
      <c r="H182" s="15">
        <f t="shared" si="21"/>
        <v>97.719003479141975</v>
      </c>
      <c r="I182" s="15"/>
      <c r="W182" s="5">
        <f t="shared" si="17"/>
        <v>0.17650000000000013</v>
      </c>
      <c r="X182">
        <f t="shared" si="16"/>
        <v>52067.500000000036</v>
      </c>
      <c r="Y182" s="4">
        <f ca="1"/>
        <v>0</v>
      </c>
      <c r="Z182" s="4">
        <v>1.4018169243810218E-8</v>
      </c>
      <c r="AA182" s="13">
        <v>0</v>
      </c>
    </row>
    <row r="183" spans="2:27">
      <c r="B183">
        <v>6</v>
      </c>
      <c r="C183">
        <v>1000</v>
      </c>
      <c r="D183" s="5">
        <v>0.04</v>
      </c>
      <c r="E183" s="2">
        <v>0.65</v>
      </c>
      <c r="F183" s="30">
        <f t="shared" si="20"/>
        <v>0.15</v>
      </c>
      <c r="G183" s="11">
        <f t="shared" si="22"/>
        <v>14</v>
      </c>
      <c r="H183" s="15">
        <f t="shared" si="21"/>
        <v>97.719003479141975</v>
      </c>
      <c r="I183" s="15"/>
      <c r="W183" s="5">
        <f t="shared" si="17"/>
        <v>0.17750000000000013</v>
      </c>
      <c r="X183">
        <f t="shared" si="16"/>
        <v>52362.500000000036</v>
      </c>
      <c r="Y183" s="4">
        <f ca="1"/>
        <v>0</v>
      </c>
      <c r="Z183" s="4">
        <v>1.3085961285799439E-8</v>
      </c>
      <c r="AA183" s="13">
        <v>0</v>
      </c>
    </row>
    <row r="184" spans="2:27">
      <c r="B184">
        <v>6</v>
      </c>
      <c r="C184">
        <v>1000</v>
      </c>
      <c r="D184" s="5">
        <v>0.04</v>
      </c>
      <c r="E184" s="2">
        <v>0.65</v>
      </c>
      <c r="F184" s="30">
        <f t="shared" si="20"/>
        <v>0.15</v>
      </c>
      <c r="G184" s="11">
        <f t="shared" si="22"/>
        <v>14</v>
      </c>
      <c r="H184" s="15">
        <f t="shared" si="21"/>
        <v>97.719003479141975</v>
      </c>
      <c r="I184" s="15"/>
      <c r="W184" s="5">
        <f t="shared" si="17"/>
        <v>0.17850000000000013</v>
      </c>
      <c r="X184">
        <f t="shared" si="16"/>
        <v>52657.500000000036</v>
      </c>
      <c r="Y184" s="4">
        <f ca="1"/>
        <v>0</v>
      </c>
      <c r="Z184" s="4">
        <v>1.2197429129985355E-8</v>
      </c>
      <c r="AA184" s="13">
        <v>0</v>
      </c>
    </row>
    <row r="185" spans="2:27">
      <c r="B185">
        <v>7</v>
      </c>
      <c r="C185">
        <v>1000</v>
      </c>
      <c r="D185" s="5">
        <v>0.05</v>
      </c>
      <c r="E185" s="2">
        <v>0.65</v>
      </c>
      <c r="F185" s="30">
        <f t="shared" si="20"/>
        <v>0.15</v>
      </c>
      <c r="G185" s="11">
        <f t="shared" si="22"/>
        <v>17.5</v>
      </c>
      <c r="H185" s="15">
        <f t="shared" si="21"/>
        <v>111.8877939916274</v>
      </c>
      <c r="I185" s="15"/>
      <c r="W185" s="5">
        <f t="shared" si="17"/>
        <v>0.17950000000000013</v>
      </c>
      <c r="X185">
        <f t="shared" si="16"/>
        <v>52952.500000000036</v>
      </c>
      <c r="Y185" s="4">
        <f ca="1"/>
        <v>0</v>
      </c>
      <c r="Z185" s="4">
        <v>1.1351584492453442E-8</v>
      </c>
      <c r="AA185" s="13">
        <v>0</v>
      </c>
    </row>
    <row r="186" spans="2:27">
      <c r="B186">
        <v>7</v>
      </c>
      <c r="C186">
        <v>1000</v>
      </c>
      <c r="D186" s="5">
        <v>0.05</v>
      </c>
      <c r="E186" s="2">
        <v>0.65</v>
      </c>
      <c r="F186" s="30">
        <f t="shared" si="20"/>
        <v>0.15</v>
      </c>
      <c r="G186" s="11">
        <f t="shared" si="22"/>
        <v>17.5</v>
      </c>
      <c r="H186" s="15">
        <f t="shared" si="21"/>
        <v>111.8877939916274</v>
      </c>
      <c r="I186" s="15"/>
      <c r="W186" s="5">
        <f t="shared" si="17"/>
        <v>0.18050000000000013</v>
      </c>
      <c r="X186">
        <f t="shared" si="16"/>
        <v>53247.500000000036</v>
      </c>
      <c r="Y186" s="4">
        <f ca="1"/>
        <v>0</v>
      </c>
      <c r="Z186" s="4">
        <v>1.0547542413172081E-8</v>
      </c>
      <c r="AA186" s="13">
        <v>0</v>
      </c>
    </row>
    <row r="187" spans="2:27">
      <c r="B187">
        <v>7</v>
      </c>
      <c r="C187">
        <v>1000</v>
      </c>
      <c r="D187" s="5">
        <v>0.05</v>
      </c>
      <c r="E187" s="2">
        <v>0.65</v>
      </c>
      <c r="F187" s="30">
        <f t="shared" si="20"/>
        <v>0.15</v>
      </c>
      <c r="G187" s="11">
        <f t="shared" si="22"/>
        <v>17.5</v>
      </c>
      <c r="H187" s="15">
        <f t="shared" si="21"/>
        <v>111.8877939916274</v>
      </c>
      <c r="I187" s="15"/>
      <c r="W187" s="5">
        <f t="shared" si="17"/>
        <v>0.18150000000000013</v>
      </c>
      <c r="X187">
        <f t="shared" si="16"/>
        <v>53542.500000000036</v>
      </c>
      <c r="Y187" s="4">
        <f ca="1"/>
        <v>0</v>
      </c>
      <c r="Z187" s="4">
        <v>9.7844726867267822E-9</v>
      </c>
      <c r="AA187" s="13">
        <v>0</v>
      </c>
    </row>
    <row r="188" spans="2:27">
      <c r="B188">
        <v>7</v>
      </c>
      <c r="C188">
        <v>1000</v>
      </c>
      <c r="D188" s="5">
        <v>0.05</v>
      </c>
      <c r="E188" s="2">
        <v>0.65</v>
      </c>
      <c r="F188" s="30">
        <f t="shared" si="20"/>
        <v>0.15</v>
      </c>
      <c r="G188" s="11">
        <f t="shared" si="22"/>
        <v>17.5</v>
      </c>
      <c r="H188" s="15">
        <f t="shared" si="21"/>
        <v>111.8877939916274</v>
      </c>
      <c r="I188" s="15"/>
      <c r="W188" s="5">
        <f t="shared" si="17"/>
        <v>0.18250000000000013</v>
      </c>
      <c r="X188">
        <f t="shared" si="16"/>
        <v>53837.500000000036</v>
      </c>
      <c r="Y188" s="4">
        <f ca="1"/>
        <v>0</v>
      </c>
      <c r="Z188" s="4">
        <v>9.061561635906464E-9</v>
      </c>
      <c r="AA188" s="13">
        <v>0</v>
      </c>
    </row>
    <row r="189" spans="2:27">
      <c r="B189">
        <v>7</v>
      </c>
      <c r="C189">
        <v>1000</v>
      </c>
      <c r="D189" s="5">
        <v>0.05</v>
      </c>
      <c r="E189" s="2">
        <v>0.65</v>
      </c>
      <c r="F189" s="30">
        <f t="shared" si="20"/>
        <v>0.15</v>
      </c>
      <c r="G189" s="11">
        <f t="shared" si="22"/>
        <v>17.5</v>
      </c>
      <c r="H189" s="15">
        <f t="shared" si="21"/>
        <v>111.8877939916274</v>
      </c>
      <c r="I189" s="15"/>
      <c r="W189" s="5">
        <f t="shared" si="17"/>
        <v>0.18350000000000014</v>
      </c>
      <c r="X189">
        <f t="shared" si="16"/>
        <v>54132.500000000036</v>
      </c>
      <c r="Y189" s="4">
        <f ca="1"/>
        <v>0</v>
      </c>
      <c r="Z189" s="4">
        <v>8.3779828769668896E-9</v>
      </c>
      <c r="AA189" s="13">
        <v>0</v>
      </c>
    </row>
    <row r="190" spans="2:27">
      <c r="B190">
        <v>7</v>
      </c>
      <c r="C190">
        <v>1000</v>
      </c>
      <c r="D190" s="5">
        <v>0.05</v>
      </c>
      <c r="E190" s="2">
        <v>0.65</v>
      </c>
      <c r="F190" s="30">
        <f t="shared" si="20"/>
        <v>0.15</v>
      </c>
      <c r="G190" s="11">
        <f t="shared" si="22"/>
        <v>17.5</v>
      </c>
      <c r="H190" s="15">
        <f t="shared" si="21"/>
        <v>111.8877939916274</v>
      </c>
      <c r="I190" s="15"/>
      <c r="W190" s="5">
        <f t="shared" si="17"/>
        <v>0.18450000000000014</v>
      </c>
      <c r="X190">
        <f t="shared" si="16"/>
        <v>54427.500000000044</v>
      </c>
      <c r="Y190" s="4">
        <f ca="1"/>
        <v>0</v>
      </c>
      <c r="Z190" s="4">
        <v>7.7328758318372229E-9</v>
      </c>
      <c r="AA190" s="13">
        <v>0</v>
      </c>
    </row>
    <row r="191" spans="2:27">
      <c r="B191">
        <v>7</v>
      </c>
      <c r="C191">
        <v>1000</v>
      </c>
      <c r="D191" s="5">
        <v>0.05</v>
      </c>
      <c r="E191" s="2">
        <v>0.65</v>
      </c>
      <c r="F191" s="30">
        <f t="shared" si="20"/>
        <v>0.15</v>
      </c>
      <c r="G191" s="11">
        <f t="shared" si="22"/>
        <v>17.5</v>
      </c>
      <c r="H191" s="15">
        <f t="shared" si="21"/>
        <v>111.8877939916274</v>
      </c>
      <c r="I191" s="15"/>
      <c r="W191" s="5">
        <f t="shared" si="17"/>
        <v>0.18550000000000014</v>
      </c>
      <c r="X191">
        <f t="shared" si="16"/>
        <v>54722.500000000044</v>
      </c>
      <c r="Y191" s="4">
        <f ca="1"/>
        <v>0</v>
      </c>
      <c r="Z191" s="4">
        <v>7.1253308492414155E-9</v>
      </c>
      <c r="AA191" s="13">
        <v>0</v>
      </c>
    </row>
    <row r="192" spans="2:27">
      <c r="B192">
        <v>7</v>
      </c>
      <c r="C192">
        <v>1000</v>
      </c>
      <c r="D192" s="5">
        <v>0.05</v>
      </c>
      <c r="E192" s="2">
        <v>0.65</v>
      </c>
      <c r="F192" s="30">
        <f t="shared" si="20"/>
        <v>0.15</v>
      </c>
      <c r="G192" s="11">
        <f t="shared" si="22"/>
        <v>17.5</v>
      </c>
      <c r="H192" s="15">
        <f t="shared" si="21"/>
        <v>111.8877939916274</v>
      </c>
      <c r="I192" s="15"/>
      <c r="W192" s="5">
        <f t="shared" si="17"/>
        <v>0.18650000000000014</v>
      </c>
      <c r="X192">
        <f t="shared" si="16"/>
        <v>55017.500000000044</v>
      </c>
      <c r="Y192" s="4">
        <f ca="1"/>
        <v>0</v>
      </c>
      <c r="Z192" s="4">
        <v>6.5543799015515946E-9</v>
      </c>
      <c r="AA192" s="13">
        <v>0</v>
      </c>
    </row>
    <row r="193" spans="2:27">
      <c r="B193">
        <v>7</v>
      </c>
      <c r="C193">
        <v>1000</v>
      </c>
      <c r="D193" s="5">
        <v>0.05</v>
      </c>
      <c r="E193" s="2">
        <v>0.65</v>
      </c>
      <c r="F193" s="30">
        <f t="shared" si="20"/>
        <v>0.15</v>
      </c>
      <c r="G193" s="11">
        <f t="shared" si="22"/>
        <v>17.5</v>
      </c>
      <c r="H193" s="15">
        <f t="shared" si="21"/>
        <v>111.8877939916274</v>
      </c>
      <c r="I193" s="15"/>
      <c r="W193" s="5">
        <f t="shared" si="17"/>
        <v>0.18750000000000014</v>
      </c>
      <c r="X193">
        <f t="shared" si="16"/>
        <v>55312.500000000044</v>
      </c>
      <c r="Y193" s="4">
        <f ca="1"/>
        <v>0</v>
      </c>
      <c r="Z193" s="4">
        <v>6.0189919256068068E-9</v>
      </c>
      <c r="AA193" s="13">
        <v>0</v>
      </c>
    </row>
    <row r="194" spans="2:27">
      <c r="B194">
        <v>7</v>
      </c>
      <c r="C194">
        <v>1000</v>
      </c>
      <c r="D194" s="5">
        <v>0.05</v>
      </c>
      <c r="E194" s="2">
        <v>0.65</v>
      </c>
      <c r="F194" s="30">
        <f t="shared" si="20"/>
        <v>0.15</v>
      </c>
      <c r="G194" s="11">
        <f t="shared" si="22"/>
        <v>17.5</v>
      </c>
      <c r="H194" s="15">
        <f t="shared" si="21"/>
        <v>111.8877939916274</v>
      </c>
      <c r="I194" s="15"/>
      <c r="W194" s="5">
        <f t="shared" si="17"/>
        <v>0.18850000000000014</v>
      </c>
      <c r="X194">
        <f t="shared" si="16"/>
        <v>55607.500000000044</v>
      </c>
      <c r="Y194" s="4">
        <f ca="1"/>
        <v>0</v>
      </c>
      <c r="Z194" s="4">
        <v>5.5180719726111631E-9</v>
      </c>
      <c r="AA194" s="13">
        <v>0</v>
      </c>
    </row>
    <row r="195" spans="2:27">
      <c r="B195">
        <v>8</v>
      </c>
      <c r="C195">
        <v>1000</v>
      </c>
      <c r="D195" s="5">
        <v>0.1</v>
      </c>
      <c r="E195" s="2">
        <v>0.65</v>
      </c>
      <c r="F195" s="30">
        <f t="shared" si="20"/>
        <v>0.15</v>
      </c>
      <c r="G195" s="11">
        <f t="shared" si="22"/>
        <v>35</v>
      </c>
      <c r="H195" s="15">
        <f t="shared" si="21"/>
        <v>165.40435066417558</v>
      </c>
      <c r="I195" s="15"/>
      <c r="W195" s="5">
        <f t="shared" si="17"/>
        <v>0.18950000000000014</v>
      </c>
      <c r="X195">
        <f t="shared" si="16"/>
        <v>55902.500000000044</v>
      </c>
      <c r="Y195" s="4">
        <f ca="1"/>
        <v>0</v>
      </c>
      <c r="Z195" s="4">
        <v>5.0504634238419221E-9</v>
      </c>
      <c r="AA195" s="13">
        <v>0</v>
      </c>
    </row>
    <row r="196" spans="2:27">
      <c r="B196">
        <v>8</v>
      </c>
      <c r="C196">
        <v>1000</v>
      </c>
      <c r="D196" s="5">
        <v>0.1</v>
      </c>
      <c r="E196" s="2">
        <v>0.65</v>
      </c>
      <c r="F196" s="30">
        <f t="shared" si="20"/>
        <v>0.15</v>
      </c>
      <c r="G196" s="11">
        <f t="shared" si="22"/>
        <v>35</v>
      </c>
      <c r="H196" s="15">
        <f t="shared" si="21"/>
        <v>165.40435066417558</v>
      </c>
      <c r="I196" s="15"/>
      <c r="W196" s="5">
        <f t="shared" si="17"/>
        <v>0.19050000000000014</v>
      </c>
      <c r="X196">
        <f t="shared" si="16"/>
        <v>56197.500000000044</v>
      </c>
      <c r="Y196" s="4">
        <f ca="1"/>
        <v>0</v>
      </c>
      <c r="Z196" s="4">
        <v>4.6149526148223653E-9</v>
      </c>
      <c r="AA196" s="13">
        <v>0</v>
      </c>
    </row>
    <row r="197" spans="2:27">
      <c r="B197">
        <v>8</v>
      </c>
      <c r="C197">
        <v>1000</v>
      </c>
      <c r="D197" s="5">
        <v>0.1</v>
      </c>
      <c r="E197" s="2">
        <v>0.65</v>
      </c>
      <c r="F197" s="30">
        <f t="shared" si="20"/>
        <v>0.15</v>
      </c>
      <c r="G197" s="11">
        <f t="shared" si="22"/>
        <v>35</v>
      </c>
      <c r="H197" s="15">
        <f t="shared" si="21"/>
        <v>165.40435066417558</v>
      </c>
      <c r="I197" s="15"/>
      <c r="W197" s="5">
        <f t="shared" si="17"/>
        <v>0.19150000000000014</v>
      </c>
      <c r="X197">
        <f t="shared" ref="X197:X260" si="23">W197*$C$21</f>
        <v>56492.500000000044</v>
      </c>
      <c r="Y197" s="4">
        <f ca="1"/>
        <v>0</v>
      </c>
      <c r="Z197" s="4">
        <v>4.2102752906467406E-9</v>
      </c>
      <c r="AA197" s="13">
        <v>0</v>
      </c>
    </row>
    <row r="198" spans="2:27">
      <c r="B198">
        <v>8</v>
      </c>
      <c r="C198">
        <v>1000</v>
      </c>
      <c r="D198" s="5">
        <v>0.1</v>
      </c>
      <c r="E198" s="2">
        <v>0.65</v>
      </c>
      <c r="F198" s="30">
        <f t="shared" si="20"/>
        <v>0.15</v>
      </c>
      <c r="G198" s="11">
        <f t="shared" si="22"/>
        <v>35</v>
      </c>
      <c r="H198" s="15">
        <f t="shared" si="21"/>
        <v>165.40435066417558</v>
      </c>
      <c r="I198" s="15"/>
      <c r="W198" s="5">
        <f t="shared" si="17"/>
        <v>0.19250000000000014</v>
      </c>
      <c r="X198">
        <f t="shared" si="23"/>
        <v>56787.500000000044</v>
      </c>
      <c r="Y198" s="4">
        <f ca="1"/>
        <v>0</v>
      </c>
      <c r="Z198" s="4">
        <v>3.8351243892583269E-9</v>
      </c>
      <c r="AA198" s="13">
        <v>0</v>
      </c>
    </row>
    <row r="199" spans="2:27">
      <c r="B199">
        <v>8</v>
      </c>
      <c r="C199">
        <v>1000</v>
      </c>
      <c r="D199" s="5">
        <v>0.1</v>
      </c>
      <c r="E199" s="2">
        <v>0.65</v>
      </c>
      <c r="F199" s="30">
        <f t="shared" si="20"/>
        <v>0.15</v>
      </c>
      <c r="G199" s="11">
        <f t="shared" si="22"/>
        <v>35</v>
      </c>
      <c r="H199" s="15">
        <f t="shared" si="21"/>
        <v>165.40435066417558</v>
      </c>
      <c r="I199" s="15"/>
      <c r="W199" s="5">
        <f t="shared" ref="W199:W262" si="24">W198+1/$C$18</f>
        <v>0.19350000000000014</v>
      </c>
      <c r="X199">
        <f t="shared" si="23"/>
        <v>57082.500000000044</v>
      </c>
      <c r="Y199" s="4">
        <f ca="1"/>
        <v>0</v>
      </c>
      <c r="Z199" s="4">
        <v>3.4881587177691321E-9</v>
      </c>
      <c r="AA199" s="13">
        <v>0</v>
      </c>
    </row>
    <row r="200" spans="2:27">
      <c r="W200" s="5">
        <f t="shared" si="24"/>
        <v>0.19450000000000014</v>
      </c>
      <c r="X200">
        <f t="shared" si="23"/>
        <v>57377.500000000044</v>
      </c>
      <c r="Y200" s="4">
        <f ca="1"/>
        <v>0</v>
      </c>
      <c r="Z200" s="4">
        <v>3.1680121495463931E-9</v>
      </c>
      <c r="AA200" s="13">
        <v>0</v>
      </c>
    </row>
    <row r="201" spans="2:27">
      <c r="W201" s="5">
        <f t="shared" si="24"/>
        <v>0.19550000000000015</v>
      </c>
      <c r="X201">
        <f t="shared" si="23"/>
        <v>57672.500000000044</v>
      </c>
      <c r="Y201" s="4">
        <f ca="1"/>
        <v>0</v>
      </c>
      <c r="Z201" s="4">
        <v>2.8733030270017718E-9</v>
      </c>
      <c r="AA201" s="13">
        <v>0</v>
      </c>
    </row>
    <row r="202" spans="2:27">
      <c r="W202" s="5">
        <f t="shared" si="24"/>
        <v>0.19650000000000015</v>
      </c>
      <c r="X202">
        <f t="shared" si="23"/>
        <v>57967.500000000044</v>
      </c>
      <c r="Y202" s="4">
        <f ca="1"/>
        <v>0</v>
      </c>
      <c r="Z202" s="4">
        <v>2.6026435070559998E-9</v>
      </c>
      <c r="AA202" s="13">
        <v>0</v>
      </c>
    </row>
    <row r="203" spans="2:27">
      <c r="W203" s="5">
        <f t="shared" si="24"/>
        <v>0.19750000000000015</v>
      </c>
      <c r="X203">
        <f t="shared" si="23"/>
        <v>58262.500000000044</v>
      </c>
      <c r="Y203" s="4">
        <f ca="1"/>
        <v>0</v>
      </c>
      <c r="Z203" s="4">
        <v>2.3546486333780731E-9</v>
      </c>
      <c r="AA203" s="13">
        <v>0</v>
      </c>
    </row>
    <row r="204" spans="2:27">
      <c r="W204" s="5">
        <f t="shared" si="24"/>
        <v>0.19850000000000015</v>
      </c>
      <c r="X204">
        <f t="shared" si="23"/>
        <v>58557.500000000044</v>
      </c>
      <c r="Y204" s="4">
        <f ca="1"/>
        <v>0</v>
      </c>
      <c r="Z204" s="4">
        <v>2.1279449619762889E-9</v>
      </c>
      <c r="AA204" s="13">
        <v>0</v>
      </c>
    </row>
    <row r="205" spans="2:27">
      <c r="W205" s="5">
        <f t="shared" si="24"/>
        <v>0.19950000000000015</v>
      </c>
      <c r="X205">
        <f t="shared" si="23"/>
        <v>58852.500000000044</v>
      </c>
      <c r="Y205" s="4">
        <f ca="1"/>
        <v>0</v>
      </c>
      <c r="Z205" s="4">
        <v>1.921178604804785E-9</v>
      </c>
      <c r="AA205" s="13">
        <v>0</v>
      </c>
    </row>
    <row r="206" spans="2:27">
      <c r="W206" s="5">
        <f t="shared" si="24"/>
        <v>0.20050000000000015</v>
      </c>
      <c r="X206">
        <f t="shared" si="23"/>
        <v>59147.500000000044</v>
      </c>
      <c r="Y206" s="4">
        <f ca="1"/>
        <v>0</v>
      </c>
      <c r="Z206" s="4">
        <v>1.7330225899901851E-9</v>
      </c>
      <c r="AA206" s="13">
        <v>0</v>
      </c>
    </row>
    <row r="207" spans="2:27">
      <c r="W207" s="5">
        <f t="shared" si="24"/>
        <v>0.20150000000000015</v>
      </c>
      <c r="X207">
        <f t="shared" si="23"/>
        <v>59442.500000000044</v>
      </c>
      <c r="Y207" s="4">
        <f ca="1"/>
        <v>0</v>
      </c>
      <c r="Z207" s="4">
        <v>1.5621834673144196E-9</v>
      </c>
      <c r="AA207" s="13">
        <v>0</v>
      </c>
    </row>
    <row r="208" spans="2:27">
      <c r="W208" s="5">
        <f t="shared" si="24"/>
        <v>0.20250000000000015</v>
      </c>
      <c r="X208">
        <f t="shared" si="23"/>
        <v>59737.500000000044</v>
      </c>
      <c r="Y208" s="4">
        <f ca="1"/>
        <v>0</v>
      </c>
      <c r="Z208" s="4">
        <v>1.4074071139388047E-9</v>
      </c>
      <c r="AA208" s="13">
        <v>0</v>
      </c>
    </row>
    <row r="209" spans="23:27">
      <c r="W209" s="5">
        <f t="shared" si="24"/>
        <v>0.20350000000000015</v>
      </c>
      <c r="X209">
        <f t="shared" si="23"/>
        <v>60032.500000000044</v>
      </c>
      <c r="Y209" s="4">
        <f ca="1"/>
        <v>0</v>
      </c>
      <c r="Z209" s="4">
        <v>1.2674837182400282E-9</v>
      </c>
      <c r="AA209" s="13">
        <v>0</v>
      </c>
    </row>
    <row r="210" spans="23:27">
      <c r="W210" s="5">
        <f t="shared" si="24"/>
        <v>0.20450000000000015</v>
      </c>
      <c r="X210">
        <f t="shared" si="23"/>
        <v>60327.500000000044</v>
      </c>
      <c r="Y210" s="4">
        <f ca="1"/>
        <v>0</v>
      </c>
      <c r="Z210" s="4">
        <v>1.1412519392651215E-9</v>
      </c>
      <c r="AA210" s="13">
        <v>0</v>
      </c>
    </row>
    <row r="211" spans="23:27">
      <c r="W211" s="5">
        <f t="shared" si="24"/>
        <v>0.20550000000000015</v>
      </c>
      <c r="X211">
        <f t="shared" si="23"/>
        <v>60622.500000000044</v>
      </c>
      <c r="Y211" s="4">
        <f ca="1"/>
        <v>0</v>
      </c>
      <c r="Z211" s="4">
        <v>1.0276022559105733E-9</v>
      </c>
      <c r="AA211" s="13">
        <v>0</v>
      </c>
    </row>
    <row r="212" spans="23:27">
      <c r="W212" s="5">
        <f t="shared" si="24"/>
        <v>0.20650000000000016</v>
      </c>
      <c r="X212">
        <f t="shared" si="23"/>
        <v>60917.500000000044</v>
      </c>
      <c r="Y212" s="4">
        <f ca="1"/>
        <v>0</v>
      </c>
      <c r="Z212" s="4">
        <v>9.2547953370053016E-10</v>
      </c>
      <c r="AA212" s="13">
        <v>0</v>
      </c>
    </row>
    <row r="213" spans="23:27">
      <c r="W213" s="5">
        <f t="shared" si="24"/>
        <v>0.20750000000000016</v>
      </c>
      <c r="X213">
        <f t="shared" si="23"/>
        <v>61212.500000000044</v>
      </c>
      <c r="Y213" s="4">
        <f ca="1"/>
        <v>0</v>
      </c>
      <c r="Z213" s="4">
        <v>8.338848481903529E-10</v>
      </c>
      <c r="AA213" s="13">
        <v>0</v>
      </c>
    </row>
    <row r="214" spans="23:27">
      <c r="W214" s="5">
        <f t="shared" si="24"/>
        <v>0.20850000000000016</v>
      </c>
      <c r="X214">
        <f t="shared" si="23"/>
        <v>61507.500000000044</v>
      </c>
      <c r="Y214" s="4">
        <f ca="1"/>
        <v>0</v>
      </c>
      <c r="Z214" s="4">
        <v>7.5187661276542029E-10</v>
      </c>
      <c r="AA214" s="13">
        <v>0</v>
      </c>
    </row>
    <row r="215" spans="23:27">
      <c r="W215" s="5">
        <f t="shared" si="24"/>
        <v>0.20950000000000016</v>
      </c>
      <c r="X215">
        <f t="shared" si="23"/>
        <v>61802.500000000044</v>
      </c>
      <c r="Y215" s="4">
        <f ca="1"/>
        <v>0</v>
      </c>
      <c r="Z215" s="4">
        <v>6.7857106515294658E-10</v>
      </c>
      <c r="AA215" s="13">
        <v>0</v>
      </c>
    </row>
    <row r="216" spans="23:27">
      <c r="W216" s="5">
        <f t="shared" si="24"/>
        <v>0.21050000000000016</v>
      </c>
      <c r="X216">
        <f t="shared" si="23"/>
        <v>62097.500000000044</v>
      </c>
      <c r="Y216" s="4">
        <f ca="1"/>
        <v>0</v>
      </c>
      <c r="Z216" s="4">
        <v>6.1314217152855281E-10</v>
      </c>
      <c r="AA216" s="13">
        <v>0</v>
      </c>
    </row>
    <row r="217" spans="23:27">
      <c r="W217" s="5">
        <f t="shared" si="24"/>
        <v>0.21150000000000016</v>
      </c>
      <c r="X217">
        <f t="shared" si="23"/>
        <v>62392.500000000044</v>
      </c>
      <c r="Y217" s="4">
        <f ca="1"/>
        <v>0</v>
      </c>
      <c r="Z217" s="4">
        <v>5.5482100989113931E-10</v>
      </c>
      <c r="AA217" s="13">
        <v>0</v>
      </c>
    </row>
    <row r="218" spans="23:27">
      <c r="W218" s="5">
        <f t="shared" si="24"/>
        <v>0.21250000000000016</v>
      </c>
      <c r="X218">
        <f t="shared" si="23"/>
        <v>62687.500000000051</v>
      </c>
      <c r="Y218" s="4">
        <f ca="1"/>
        <v>0</v>
      </c>
      <c r="Z218" s="4">
        <v>5.0289469560850429E-10</v>
      </c>
      <c r="AA218" s="13">
        <v>0</v>
      </c>
    </row>
    <row r="219" spans="23:27">
      <c r="W219" s="5">
        <f t="shared" si="24"/>
        <v>0.21350000000000016</v>
      </c>
      <c r="X219">
        <f t="shared" si="23"/>
        <v>62982.500000000051</v>
      </c>
      <c r="Y219" s="4">
        <f ca="1"/>
        <v>0</v>
      </c>
      <c r="Z219" s="4">
        <v>4.5670491190786984E-10</v>
      </c>
      <c r="AA219" s="13">
        <v>0</v>
      </c>
    </row>
    <row r="220" spans="23:27">
      <c r="W220" s="5">
        <f t="shared" si="24"/>
        <v>0.21450000000000016</v>
      </c>
      <c r="X220">
        <f t="shared" si="23"/>
        <v>63277.500000000051</v>
      </c>
      <c r="Y220" s="4">
        <f ca="1"/>
        <v>0</v>
      </c>
      <c r="Z220" s="4">
        <v>4.1564610679986666E-10</v>
      </c>
      <c r="AA220" s="13">
        <v>0</v>
      </c>
    </row>
    <row r="221" spans="23:27">
      <c r="W221" s="5">
        <f t="shared" si="24"/>
        <v>0.21550000000000016</v>
      </c>
      <c r="X221">
        <f t="shared" si="23"/>
        <v>63572.500000000051</v>
      </c>
      <c r="Y221" s="4">
        <f ca="1"/>
        <v>0</v>
      </c>
      <c r="Z221" s="4">
        <v>3.7916341567390717E-10</v>
      </c>
      <c r="AA221" s="13">
        <v>0</v>
      </c>
    </row>
    <row r="222" spans="23:27">
      <c r="W222" s="5">
        <f t="shared" si="24"/>
        <v>0.21650000000000016</v>
      </c>
      <c r="X222">
        <f t="shared" si="23"/>
        <v>63867.500000000051</v>
      </c>
      <c r="Y222" s="4">
        <f ca="1"/>
        <v>0</v>
      </c>
      <c r="Z222" s="4">
        <v>3.4675036576994048E-10</v>
      </c>
      <c r="AA222" s="13">
        <v>0</v>
      </c>
    </row>
    <row r="223" spans="23:27">
      <c r="W223" s="5">
        <f t="shared" si="24"/>
        <v>0.21750000000000017</v>
      </c>
      <c r="X223">
        <f t="shared" si="23"/>
        <v>64162.500000000051</v>
      </c>
      <c r="Y223" s="4">
        <f ca="1"/>
        <v>0</v>
      </c>
      <c r="Z223" s="4">
        <v>3.1794641508781688E-10</v>
      </c>
      <c r="AA223" s="13">
        <v>0</v>
      </c>
    </row>
    <row r="224" spans="23:27">
      <c r="W224" s="5">
        <f t="shared" si="24"/>
        <v>0.21850000000000017</v>
      </c>
      <c r="X224">
        <f t="shared" si="23"/>
        <v>64457.500000000051</v>
      </c>
      <c r="Y224" s="4">
        <f ca="1"/>
        <v>0</v>
      </c>
      <c r="Z224" s="4">
        <v>2.9233437419950047E-10</v>
      </c>
      <c r="AA224" s="13">
        <v>0</v>
      </c>
    </row>
    <row r="225" spans="23:27">
      <c r="W225" s="5">
        <f t="shared" si="24"/>
        <v>0.21950000000000017</v>
      </c>
      <c r="X225">
        <f t="shared" si="23"/>
        <v>64752.500000000051</v>
      </c>
      <c r="Y225" s="4">
        <f ca="1"/>
        <v>0</v>
      </c>
      <c r="Z225" s="4">
        <v>2.6953775502564969E-10</v>
      </c>
      <c r="AA225" s="13">
        <v>0</v>
      </c>
    </row>
    <row r="226" spans="23:27">
      <c r="W226" s="5">
        <f t="shared" si="24"/>
        <v>0.22050000000000017</v>
      </c>
      <c r="X226">
        <f t="shared" si="23"/>
        <v>65047.500000000051</v>
      </c>
      <c r="Y226" s="4">
        <f ca="1"/>
        <v>0</v>
      </c>
      <c r="Z226" s="4">
        <v>2.4921808605608723E-10</v>
      </c>
      <c r="AA226" s="13">
        <v>0</v>
      </c>
    </row>
    <row r="227" spans="23:27">
      <c r="W227" s="5">
        <f t="shared" si="24"/>
        <v>0.22150000000000017</v>
      </c>
      <c r="X227">
        <f t="shared" si="23"/>
        <v>65342.500000000051</v>
      </c>
      <c r="Y227" s="4">
        <f ca="1"/>
        <v>0</v>
      </c>
      <c r="Z227" s="4">
        <v>2.3107222884689644E-10</v>
      </c>
      <c r="AA227" s="13">
        <v>0</v>
      </c>
    </row>
    <row r="228" spans="23:27">
      <c r="W228" s="5">
        <f t="shared" si="24"/>
        <v>0.22250000000000017</v>
      </c>
      <c r="X228">
        <f t="shared" si="23"/>
        <v>65637.500000000044</v>
      </c>
      <c r="Y228" s="4">
        <f ca="1"/>
        <v>0</v>
      </c>
      <c r="Z228" s="4">
        <v>2.1482972601254792E-10</v>
      </c>
      <c r="AA228" s="13">
        <v>0</v>
      </c>
    </row>
    <row r="229" spans="23:27">
      <c r="W229" s="5">
        <f t="shared" si="24"/>
        <v>0.22350000000000017</v>
      </c>
      <c r="X229">
        <f t="shared" si="23"/>
        <v>65932.500000000044</v>
      </c>
      <c r="Y229" s="4">
        <f ca="1"/>
        <v>0</v>
      </c>
      <c r="Z229" s="4">
        <v>2.0025020643014339E-10</v>
      </c>
      <c r="AA229" s="13">
        <v>0</v>
      </c>
    </row>
    <row r="230" spans="23:27">
      <c r="W230" s="5">
        <f t="shared" si="24"/>
        <v>0.22450000000000017</v>
      </c>
      <c r="X230">
        <f t="shared" si="23"/>
        <v>66227.500000000044</v>
      </c>
      <c r="Y230" s="4">
        <f ca="1"/>
        <v>0</v>
      </c>
      <c r="Z230" s="4">
        <v>1.8712086904825242E-10</v>
      </c>
      <c r="AA230" s="13">
        <v>0</v>
      </c>
    </row>
    <row r="231" spans="23:27">
      <c r="W231" s="5">
        <f t="shared" si="24"/>
        <v>0.22550000000000017</v>
      </c>
      <c r="X231">
        <f t="shared" si="23"/>
        <v>66522.500000000044</v>
      </c>
      <c r="Y231" s="4">
        <f ca="1"/>
        <v>0</v>
      </c>
      <c r="Z231" s="4">
        <v>1.7525406259152246E-10</v>
      </c>
      <c r="AA231" s="13">
        <v>0</v>
      </c>
    </row>
    <row r="232" spans="23:27">
      <c r="W232" s="5">
        <f t="shared" si="24"/>
        <v>0.22650000000000017</v>
      </c>
      <c r="X232">
        <f t="shared" si="23"/>
        <v>66817.500000000058</v>
      </c>
      <c r="Y232" s="4">
        <f ca="1"/>
        <v>0</v>
      </c>
      <c r="Z232" s="4">
        <v>1.6448497460326414E-10</v>
      </c>
      <c r="AA232" s="13">
        <v>0</v>
      </c>
    </row>
    <row r="233" spans="23:27">
      <c r="W233" s="5">
        <f t="shared" si="24"/>
        <v>0.22750000000000017</v>
      </c>
      <c r="X233">
        <f t="shared" si="23"/>
        <v>67112.500000000058</v>
      </c>
      <c r="Y233" s="4">
        <f ca="1"/>
        <v>0</v>
      </c>
      <c r="Z233" s="4">
        <v>1.5466943968201128E-10</v>
      </c>
      <c r="AA233" s="13">
        <v>0</v>
      </c>
    </row>
    <row r="234" spans="23:27">
      <c r="W234" s="5">
        <f t="shared" si="24"/>
        <v>0.22850000000000018</v>
      </c>
      <c r="X234">
        <f t="shared" si="23"/>
        <v>67407.500000000058</v>
      </c>
      <c r="Y234" s="4">
        <f ca="1"/>
        <v>0</v>
      </c>
      <c r="Z234" s="4">
        <v>1.4568188838275913E-10</v>
      </c>
      <c r="AA234" s="13">
        <v>0</v>
      </c>
    </row>
    <row r="235" spans="23:27">
      <c r="W235" s="5">
        <f t="shared" si="24"/>
        <v>0.22950000000000018</v>
      </c>
      <c r="X235">
        <f t="shared" si="23"/>
        <v>67702.500000000058</v>
      </c>
      <c r="Y235" s="4">
        <f ca="1"/>
        <v>0</v>
      </c>
      <c r="Z235" s="4">
        <v>1.3741342794775182E-10</v>
      </c>
      <c r="AA235" s="13">
        <v>0</v>
      </c>
    </row>
    <row r="236" spans="23:27">
      <c r="W236" s="5">
        <f t="shared" si="24"/>
        <v>0.23050000000000018</v>
      </c>
      <c r="X236">
        <f t="shared" si="23"/>
        <v>67997.500000000058</v>
      </c>
      <c r="Y236" s="4">
        <f ca="1"/>
        <v>0</v>
      </c>
      <c r="Z236" s="4">
        <v>1.2977001422945342E-10</v>
      </c>
      <c r="AA236" s="13">
        <v>0</v>
      </c>
    </row>
    <row r="237" spans="23:27">
      <c r="W237" s="5">
        <f t="shared" si="24"/>
        <v>0.23150000000000018</v>
      </c>
      <c r="X237">
        <f t="shared" si="23"/>
        <v>68292.500000000058</v>
      </c>
      <c r="Y237" s="4">
        <f ca="1"/>
        <v>0</v>
      </c>
      <c r="Z237" s="4">
        <v>1.2267079404178206E-10</v>
      </c>
      <c r="AA237" s="13">
        <v>0</v>
      </c>
    </row>
    <row r="238" spans="23:27">
      <c r="W238" s="5">
        <f t="shared" si="24"/>
        <v>0.23250000000000018</v>
      </c>
      <c r="X238">
        <f t="shared" si="23"/>
        <v>68587.500000000058</v>
      </c>
      <c r="Y238" s="4">
        <f ca="1"/>
        <v>0</v>
      </c>
      <c r="Z238" s="4">
        <v>1.1604658910066716E-10</v>
      </c>
      <c r="AA238" s="13">
        <v>0</v>
      </c>
    </row>
    <row r="239" spans="23:27">
      <c r="W239" s="5">
        <f t="shared" si="24"/>
        <v>0.23350000000000018</v>
      </c>
      <c r="X239">
        <f t="shared" si="23"/>
        <v>68882.500000000058</v>
      </c>
      <c r="Y239" s="4">
        <f ca="1"/>
        <v>0</v>
      </c>
      <c r="Z239" s="4">
        <v>1.0983849159347051E-10</v>
      </c>
      <c r="AA239" s="13">
        <v>0</v>
      </c>
    </row>
    <row r="240" spans="23:27">
      <c r="W240" s="5">
        <f t="shared" si="24"/>
        <v>0.23450000000000018</v>
      </c>
      <c r="X240">
        <f t="shared" si="23"/>
        <v>69177.500000000058</v>
      </c>
      <c r="Y240" s="4">
        <f ca="1"/>
        <v>0</v>
      </c>
      <c r="Z240" s="4">
        <v>1.0399658507070401E-10</v>
      </c>
      <c r="AA240" s="13">
        <v>0</v>
      </c>
    </row>
    <row r="241" spans="23:27">
      <c r="W241" s="5">
        <f t="shared" si="24"/>
        <v>0.23550000000000018</v>
      </c>
      <c r="X241">
        <f t="shared" si="23"/>
        <v>69472.500000000058</v>
      </c>
      <c r="Y241" s="4">
        <f ca="1"/>
        <v>0</v>
      </c>
      <c r="Z241" s="4">
        <v>9.8478784864016026E-11</v>
      </c>
      <c r="AA241" s="13">
        <v>0</v>
      </c>
    </row>
    <row r="242" spans="23:27">
      <c r="W242" s="5">
        <f t="shared" si="24"/>
        <v>0.23650000000000018</v>
      </c>
      <c r="X242">
        <f t="shared" si="23"/>
        <v>69767.500000000058</v>
      </c>
      <c r="Y242" s="4">
        <f ca="1"/>
        <v>0</v>
      </c>
      <c r="Z242" s="4">
        <v>9.3249791712562076E-11</v>
      </c>
      <c r="AA242" s="13">
        <v>0</v>
      </c>
    </row>
    <row r="243" spans="23:27">
      <c r="W243" s="5">
        <f t="shared" si="24"/>
        <v>0.23750000000000018</v>
      </c>
      <c r="X243">
        <f t="shared" si="23"/>
        <v>70062.500000000058</v>
      </c>
      <c r="Y243" s="4">
        <f ca="1"/>
        <v>0</v>
      </c>
      <c r="Z243" s="4">
        <v>8.8280151906424587E-11</v>
      </c>
      <c r="AA243" s="13">
        <v>0</v>
      </c>
    </row>
    <row r="244" spans="23:27">
      <c r="W244" s="5">
        <f t="shared" si="24"/>
        <v>0.23850000000000018</v>
      </c>
      <c r="X244">
        <f t="shared" si="23"/>
        <v>70357.500000000058</v>
      </c>
      <c r="Y244" s="4">
        <f ca="1"/>
        <v>0</v>
      </c>
      <c r="Z244" s="4">
        <v>8.3545417024019227E-11</v>
      </c>
      <c r="AA244" s="13">
        <v>0</v>
      </c>
    </row>
    <row r="245" spans="23:27">
      <c r="W245" s="5">
        <f t="shared" si="24"/>
        <v>0.23950000000000018</v>
      </c>
      <c r="X245">
        <f t="shared" si="23"/>
        <v>70652.500000000058</v>
      </c>
      <c r="Y245" s="4">
        <f ca="1"/>
        <v>0</v>
      </c>
      <c r="Z245" s="4">
        <v>7.9025396238006399E-11</v>
      </c>
      <c r="AA245" s="13">
        <v>0</v>
      </c>
    </row>
    <row r="246" spans="23:27">
      <c r="W246" s="5">
        <f t="shared" si="24"/>
        <v>0.24050000000000019</v>
      </c>
      <c r="X246">
        <f t="shared" si="23"/>
        <v>70947.500000000058</v>
      </c>
      <c r="Y246" s="4">
        <f ca="1"/>
        <v>0</v>
      </c>
      <c r="Z246" s="4">
        <v>7.4703494175568463E-11</v>
      </c>
      <c r="AA246" s="13">
        <v>0</v>
      </c>
    </row>
    <row r="247" spans="23:27">
      <c r="W247" s="5">
        <f t="shared" si="24"/>
        <v>0.24150000000000019</v>
      </c>
      <c r="X247">
        <f t="shared" si="23"/>
        <v>71242.500000000058</v>
      </c>
      <c r="Y247" s="4">
        <f ca="1"/>
        <v>0</v>
      </c>
      <c r="Z247" s="4">
        <v>7.056612742710843E-11</v>
      </c>
      <c r="AA247" s="13">
        <v>0</v>
      </c>
    </row>
    <row r="248" spans="23:27">
      <c r="W248" s="5">
        <f t="shared" si="24"/>
        <v>0.24250000000000019</v>
      </c>
      <c r="X248">
        <f t="shared" si="23"/>
        <v>71537.500000000058</v>
      </c>
      <c r="Y248" s="4">
        <f ca="1"/>
        <v>0</v>
      </c>
      <c r="Z248" s="4">
        <v>6.6602212985449259E-11</v>
      </c>
      <c r="AA248" s="13">
        <v>0</v>
      </c>
    </row>
    <row r="249" spans="23:27">
      <c r="W249" s="5">
        <f t="shared" si="24"/>
        <v>0.24350000000000019</v>
      </c>
      <c r="X249">
        <f t="shared" si="23"/>
        <v>71832.500000000058</v>
      </c>
      <c r="Y249" s="4">
        <f ca="1"/>
        <v>0</v>
      </c>
      <c r="Z249" s="4">
        <v>6.2802722149106724E-11</v>
      </c>
      <c r="AA249" s="13">
        <v>0</v>
      </c>
    </row>
    <row r="250" spans="23:27">
      <c r="W250" s="5">
        <f t="shared" si="24"/>
        <v>0.24450000000000019</v>
      </c>
      <c r="X250">
        <f t="shared" si="23"/>
        <v>72127.500000000058</v>
      </c>
      <c r="Y250" s="4">
        <f ca="1"/>
        <v>0</v>
      </c>
      <c r="Z250" s="4">
        <v>5.9160293723019768E-11</v>
      </c>
      <c r="AA250" s="13">
        <v>0</v>
      </c>
    </row>
    <row r="251" spans="23:27">
      <c r="W251" s="5">
        <f t="shared" si="24"/>
        <v>0.24550000000000019</v>
      </c>
      <c r="X251">
        <f t="shared" si="23"/>
        <v>72422.500000000058</v>
      </c>
      <c r="Y251" s="4">
        <f ca="1"/>
        <v>0</v>
      </c>
      <c r="Z251" s="4">
        <v>5.5668900684605744E-11</v>
      </c>
      <c r="AA251" s="13">
        <v>0</v>
      </c>
    </row>
    <row r="252" spans="23:27">
      <c r="W252" s="5">
        <f t="shared" si="24"/>
        <v>0.24650000000000019</v>
      </c>
      <c r="X252">
        <f t="shared" si="23"/>
        <v>72717.500000000058</v>
      </c>
      <c r="Y252" s="4">
        <f ca="1"/>
        <v>0</v>
      </c>
      <c r="Z252" s="4">
        <v>5.2323564840169813E-11</v>
      </c>
      <c r="AA252" s="13">
        <v>0</v>
      </c>
    </row>
    <row r="253" spans="23:27">
      <c r="W253" s="5">
        <f t="shared" si="24"/>
        <v>0.24750000000000019</v>
      </c>
      <c r="X253">
        <f t="shared" si="23"/>
        <v>73012.500000000058</v>
      </c>
      <c r="Y253" s="4">
        <f ca="1"/>
        <v>0</v>
      </c>
      <c r="Z253" s="4">
        <v>4.9120114366261347E-11</v>
      </c>
      <c r="AA253" s="13">
        <v>0</v>
      </c>
    </row>
    <row r="254" spans="23:27">
      <c r="W254" s="5">
        <f t="shared" si="24"/>
        <v>0.24850000000000019</v>
      </c>
      <c r="X254">
        <f t="shared" si="23"/>
        <v>73307.500000000058</v>
      </c>
      <c r="Y254" s="4">
        <f ca="1"/>
        <v>0</v>
      </c>
      <c r="Z254" s="4">
        <v>4.6054979503914277E-11</v>
      </c>
      <c r="AA254" s="13">
        <v>0</v>
      </c>
    </row>
    <row r="255" spans="23:27">
      <c r="W255" s="5">
        <f t="shared" si="24"/>
        <v>0.24950000000000019</v>
      </c>
      <c r="X255">
        <f t="shared" si="23"/>
        <v>73602.500000000058</v>
      </c>
      <c r="Y255" s="4">
        <f ca="1"/>
        <v>0</v>
      </c>
      <c r="Z255" s="4">
        <v>4.3125022043803181E-11</v>
      </c>
      <c r="AA255" s="13">
        <v>0</v>
      </c>
    </row>
    <row r="256" spans="23:27">
      <c r="W256" s="5">
        <f t="shared" si="24"/>
        <v>0.25050000000000017</v>
      </c>
      <c r="X256">
        <f t="shared" si="23"/>
        <v>73897.500000000044</v>
      </c>
      <c r="Y256" s="4">
        <f ca="1"/>
        <v>0</v>
      </c>
      <c r="Z256" s="4">
        <v>4.0327394601610734E-11</v>
      </c>
      <c r="AA256" s="13">
        <v>0</v>
      </c>
    </row>
    <row r="257" spans="23:27">
      <c r="W257" s="5">
        <f t="shared" si="24"/>
        <v>0.25150000000000017</v>
      </c>
      <c r="X257">
        <f t="shared" si="23"/>
        <v>74192.500000000044</v>
      </c>
      <c r="Y257" s="4">
        <f ca="1"/>
        <v>0</v>
      </c>
      <c r="Z257" s="4">
        <v>3.7659426031068135E-11</v>
      </c>
      <c r="AA257" s="13">
        <v>0</v>
      </c>
    </row>
    <row r="258" spans="23:27">
      <c r="W258" s="5">
        <f t="shared" si="24"/>
        <v>0.25250000000000017</v>
      </c>
      <c r="X258">
        <f t="shared" si="23"/>
        <v>74487.500000000044</v>
      </c>
      <c r="Y258" s="4">
        <f ca="1"/>
        <v>0</v>
      </c>
      <c r="Z258" s="4">
        <v>3.5118529654076585E-11</v>
      </c>
      <c r="AA258" s="13">
        <v>0</v>
      </c>
    </row>
    <row r="259" spans="23:27">
      <c r="W259" s="5">
        <f t="shared" si="24"/>
        <v>0.25350000000000017</v>
      </c>
      <c r="X259">
        <f t="shared" si="23"/>
        <v>74782.500000000044</v>
      </c>
      <c r="Y259" s="4">
        <f ca="1"/>
        <v>0</v>
      </c>
      <c r="Z259" s="4">
        <v>3.2702131300921899E-11</v>
      </c>
      <c r="AA259" s="13">
        <v>0</v>
      </c>
    </row>
    <row r="260" spans="23:27">
      <c r="W260" s="5">
        <f t="shared" si="24"/>
        <v>0.25450000000000017</v>
      </c>
      <c r="X260">
        <f t="shared" si="23"/>
        <v>75077.500000000044</v>
      </c>
      <c r="Y260" s="4">
        <f ca="1"/>
        <v>0</v>
      </c>
      <c r="Z260" s="4">
        <v>3.0407614447563494E-11</v>
      </c>
      <c r="AA260" s="13">
        <v>0</v>
      </c>
    </row>
    <row r="261" spans="23:27">
      <c r="W261" s="5">
        <f t="shared" si="24"/>
        <v>0.25550000000000017</v>
      </c>
      <c r="X261">
        <f t="shared" ref="X261:X324" si="25">W261*$C$21</f>
        <v>75372.500000000044</v>
      </c>
      <c r="Y261" s="4">
        <f ca="1"/>
        <v>0</v>
      </c>
      <c r="Z261" s="4">
        <v>2.8232280010710542E-11</v>
      </c>
      <c r="AA261" s="13">
        <v>0</v>
      </c>
    </row>
    <row r="262" spans="23:27">
      <c r="W262" s="5">
        <f t="shared" si="24"/>
        <v>0.25650000000000017</v>
      </c>
      <c r="X262">
        <f t="shared" si="25"/>
        <v>75667.500000000044</v>
      </c>
      <c r="Y262" s="4">
        <f ca="1"/>
        <v>0</v>
      </c>
      <c r="Z262" s="4">
        <v>2.6173318614842358E-11</v>
      </c>
      <c r="AA262" s="13">
        <v>0</v>
      </c>
    </row>
    <row r="263" spans="23:27">
      <c r="W263" s="5">
        <f t="shared" ref="W263:W326" si="26">W262+1/$C$18</f>
        <v>0.25750000000000017</v>
      </c>
      <c r="X263">
        <f t="shared" si="25"/>
        <v>75962.500000000058</v>
      </c>
      <c r="Y263" s="4">
        <f ca="1"/>
        <v>0</v>
      </c>
      <c r="Z263" s="4">
        <v>2.4227793378860956E-11</v>
      </c>
      <c r="AA263" s="13">
        <v>0</v>
      </c>
    </row>
    <row r="264" spans="23:27">
      <c r="W264" s="5">
        <f t="shared" si="26"/>
        <v>0.25850000000000017</v>
      </c>
      <c r="X264">
        <f t="shared" si="25"/>
        <v>76257.500000000058</v>
      </c>
      <c r="Y264" s="4">
        <f ca="1"/>
        <v>0</v>
      </c>
      <c r="Z264" s="4">
        <v>2.239263148438094E-11</v>
      </c>
      <c r="AA264" s="13">
        <v>0</v>
      </c>
    </row>
    <row r="265" spans="23:27">
      <c r="W265" s="5">
        <f t="shared" si="26"/>
        <v>0.25950000000000017</v>
      </c>
      <c r="X265">
        <f t="shared" si="25"/>
        <v>76552.500000000058</v>
      </c>
      <c r="Y265" s="4">
        <f ca="1"/>
        <v>0</v>
      </c>
      <c r="Z265" s="4">
        <v>2.0664622983684085E-11</v>
      </c>
      <c r="AA265" s="13">
        <v>0</v>
      </c>
    </row>
    <row r="266" spans="23:27">
      <c r="W266" s="5">
        <f t="shared" si="26"/>
        <v>0.26050000000000018</v>
      </c>
      <c r="X266">
        <f t="shared" si="25"/>
        <v>76847.500000000058</v>
      </c>
      <c r="Y266" s="4">
        <f ca="1"/>
        <v>0</v>
      </c>
      <c r="Z266" s="4">
        <v>1.9040425484164467E-11</v>
      </c>
      <c r="AA266" s="13">
        <v>0</v>
      </c>
    </row>
    <row r="267" spans="23:27">
      <c r="W267" s="5">
        <f t="shared" si="26"/>
        <v>0.26150000000000018</v>
      </c>
      <c r="X267">
        <f t="shared" si="25"/>
        <v>77142.500000000058</v>
      </c>
      <c r="Y267" s="4">
        <f ca="1"/>
        <v>0</v>
      </c>
      <c r="Z267" s="4">
        <v>1.7516573508812053E-11</v>
      </c>
      <c r="AA267" s="13">
        <v>0</v>
      </c>
    </row>
    <row r="268" spans="23:27">
      <c r="W268" s="5">
        <f t="shared" si="26"/>
        <v>0.26250000000000018</v>
      </c>
      <c r="X268">
        <f t="shared" si="25"/>
        <v>77437.500000000058</v>
      </c>
      <c r="Y268" s="4">
        <f ca="1"/>
        <v>0</v>
      </c>
      <c r="Z268" s="4">
        <v>1.6089491480108949E-11</v>
      </c>
      <c r="AA268" s="13">
        <v>0</v>
      </c>
    </row>
    <row r="269" spans="23:27">
      <c r="W269" s="5">
        <f t="shared" si="26"/>
        <v>0.26350000000000018</v>
      </c>
      <c r="X269">
        <f t="shared" si="25"/>
        <v>77732.500000000058</v>
      </c>
      <c r="Y269" s="4">
        <f ca="1"/>
        <v>0</v>
      </c>
      <c r="Z269" s="4">
        <v>1.475550940880826E-11</v>
      </c>
      <c r="AA269" s="13">
        <v>0</v>
      </c>
    </row>
    <row r="270" spans="23:27">
      <c r="W270" s="5">
        <f t="shared" si="26"/>
        <v>0.26450000000000018</v>
      </c>
      <c r="X270">
        <f t="shared" si="25"/>
        <v>78027.500000000058</v>
      </c>
      <c r="Y270" s="4">
        <f ca="1"/>
        <v>0</v>
      </c>
      <c r="Z270" s="4">
        <v>1.3510880490558455E-11</v>
      </c>
      <c r="AA270" s="13">
        <v>0</v>
      </c>
    </row>
    <row r="271" spans="23:27">
      <c r="W271" s="5">
        <f t="shared" si="26"/>
        <v>0.26550000000000018</v>
      </c>
      <c r="X271">
        <f t="shared" si="25"/>
        <v>78322.500000000058</v>
      </c>
      <c r="Y271" s="4">
        <f ca="1"/>
        <v>0</v>
      </c>
      <c r="Z271" s="4">
        <v>1.2351799923285889E-11</v>
      </c>
      <c r="AA271" s="13">
        <v>0</v>
      </c>
    </row>
    <row r="272" spans="23:27">
      <c r="W272" s="5">
        <f t="shared" si="26"/>
        <v>0.26650000000000018</v>
      </c>
      <c r="X272">
        <f t="shared" si="25"/>
        <v>78617.500000000058</v>
      </c>
      <c r="Y272" s="4">
        <f ca="1"/>
        <v>0</v>
      </c>
      <c r="Z272" s="4">
        <v>1.1274424357645892E-11</v>
      </c>
      <c r="AA272" s="13">
        <v>0</v>
      </c>
    </row>
    <row r="273" spans="23:27">
      <c r="W273" s="5">
        <f t="shared" si="26"/>
        <v>0.26750000000000018</v>
      </c>
      <c r="X273">
        <f t="shared" si="25"/>
        <v>78912.500000000058</v>
      </c>
      <c r="Y273" s="4">
        <f ca="1"/>
        <v>0</v>
      </c>
      <c r="Z273" s="4">
        <v>1.027489148259885E-11</v>
      </c>
      <c r="AA273" s="13">
        <v>0</v>
      </c>
    </row>
    <row r="274" spans="23:27">
      <c r="W274" s="5">
        <f t="shared" si="26"/>
        <v>0.26850000000000018</v>
      </c>
      <c r="X274">
        <f t="shared" si="25"/>
        <v>79207.500000000058</v>
      </c>
      <c r="Y274" s="4">
        <f ca="1"/>
        <v>0</v>
      </c>
      <c r="Z274" s="4">
        <v>9.3493393290835801E-12</v>
      </c>
      <c r="AA274" s="13">
        <v>0</v>
      </c>
    </row>
    <row r="275" spans="23:27">
      <c r="W275" s="5">
        <f t="shared" si="26"/>
        <v>0.26950000000000018</v>
      </c>
      <c r="X275">
        <f t="shared" si="25"/>
        <v>79502.500000000058</v>
      </c>
      <c r="Y275" s="4">
        <f ca="1"/>
        <v>0</v>
      </c>
      <c r="Z275" s="4">
        <v>8.4939249475819138E-12</v>
      </c>
      <c r="AA275" s="13">
        <v>0</v>
      </c>
    </row>
    <row r="276" spans="23:27">
      <c r="W276" s="5">
        <f t="shared" si="26"/>
        <v>0.27050000000000018</v>
      </c>
      <c r="X276">
        <f t="shared" si="25"/>
        <v>79797.500000000058</v>
      </c>
      <c r="Y276" s="4">
        <f ca="1"/>
        <v>0</v>
      </c>
      <c r="Z276" s="4">
        <v>7.7048421807536819E-12</v>
      </c>
      <c r="AA276" s="13">
        <v>0</v>
      </c>
    </row>
    <row r="277" spans="23:27">
      <c r="W277" s="5">
        <f t="shared" si="26"/>
        <v>0.27150000000000019</v>
      </c>
      <c r="X277">
        <f t="shared" si="25"/>
        <v>80092.500000000058</v>
      </c>
      <c r="Y277" s="4">
        <f ca="1"/>
        <v>0</v>
      </c>
      <c r="Z277" s="4">
        <v>6.9783383108581908E-12</v>
      </c>
      <c r="AA277" s="13">
        <v>0</v>
      </c>
    </row>
    <row r="278" spans="23:27">
      <c r="W278" s="5">
        <f t="shared" si="26"/>
        <v>0.27250000000000019</v>
      </c>
      <c r="X278">
        <f t="shared" si="25"/>
        <v>80387.500000000058</v>
      </c>
      <c r="Y278" s="4">
        <f ca="1"/>
        <v>0</v>
      </c>
      <c r="Z278" s="4">
        <v>6.3107294138897145E-12</v>
      </c>
      <c r="AA278" s="13">
        <v>0</v>
      </c>
    </row>
    <row r="279" spans="23:27">
      <c r="W279" s="5">
        <f t="shared" si="26"/>
        <v>0.27350000000000019</v>
      </c>
      <c r="X279">
        <f t="shared" si="25"/>
        <v>80682.500000000058</v>
      </c>
      <c r="Y279" s="4">
        <f ca="1"/>
        <v>0</v>
      </c>
      <c r="Z279" s="4">
        <v>5.6984142987105525E-12</v>
      </c>
      <c r="AA279" s="13">
        <v>0</v>
      </c>
    </row>
    <row r="280" spans="23:27">
      <c r="W280" s="5">
        <f t="shared" si="26"/>
        <v>0.27450000000000019</v>
      </c>
      <c r="X280">
        <f t="shared" si="25"/>
        <v>80977.500000000058</v>
      </c>
      <c r="Y280" s="4">
        <f ca="1"/>
        <v>0</v>
      </c>
      <c r="Z280" s="4">
        <v>5.1378869503877259E-12</v>
      </c>
      <c r="AA280" s="13">
        <v>0</v>
      </c>
    </row>
    <row r="281" spans="23:27">
      <c r="W281" s="5">
        <f t="shared" si="26"/>
        <v>0.27550000000000019</v>
      </c>
      <c r="X281">
        <f t="shared" si="25"/>
        <v>81272.500000000058</v>
      </c>
      <c r="Y281" s="4">
        <f ca="1"/>
        <v>0</v>
      </c>
      <c r="Z281" s="4">
        <v>4.6257474328135395E-12</v>
      </c>
      <c r="AA281" s="13">
        <v>0</v>
      </c>
    </row>
    <row r="282" spans="23:27">
      <c r="W282" s="5">
        <f t="shared" si="26"/>
        <v>0.27650000000000019</v>
      </c>
      <c r="X282">
        <f t="shared" si="25"/>
        <v>81567.500000000058</v>
      </c>
      <c r="Y282" s="4">
        <f ca="1"/>
        <v>0</v>
      </c>
      <c r="Z282" s="4">
        <v>4.1587112368697438E-12</v>
      </c>
      <c r="AA282" s="13">
        <v>0</v>
      </c>
    </row>
    <row r="283" spans="23:27">
      <c r="W283" s="5">
        <f t="shared" si="26"/>
        <v>0.27750000000000019</v>
      </c>
      <c r="X283">
        <f t="shared" si="25"/>
        <v>81862.500000000058</v>
      </c>
      <c r="Y283" s="4">
        <f ca="1"/>
        <v>0</v>
      </c>
      <c r="Z283" s="4">
        <v>3.7336170872100594E-12</v>
      </c>
      <c r="AA283" s="13">
        <v>0</v>
      </c>
    </row>
    <row r="284" spans="23:27">
      <c r="W284" s="5">
        <f t="shared" si="26"/>
        <v>0.27850000000000019</v>
      </c>
      <c r="X284">
        <f t="shared" si="25"/>
        <v>82157.500000000058</v>
      </c>
      <c r="Y284" s="4">
        <f ca="1"/>
        <v>0</v>
      </c>
      <c r="Z284" s="4">
        <v>3.347433243496928E-12</v>
      </c>
      <c r="AA284" s="13">
        <v>0</v>
      </c>
    </row>
    <row r="285" spans="23:27">
      <c r="W285" s="5">
        <f t="shared" si="26"/>
        <v>0.27950000000000019</v>
      </c>
      <c r="X285">
        <f t="shared" si="25"/>
        <v>82452.500000000058</v>
      </c>
      <c r="Y285" s="4">
        <f ca="1"/>
        <v>0</v>
      </c>
      <c r="Z285" s="4">
        <v>2.9972623509341929E-12</v>
      </c>
      <c r="AA285" s="13">
        <v>0</v>
      </c>
    </row>
    <row r="286" spans="23:27">
      <c r="W286" s="5">
        <f t="shared" si="26"/>
        <v>0.28050000000000019</v>
      </c>
      <c r="X286">
        <f t="shared" si="25"/>
        <v>82747.500000000058</v>
      </c>
      <c r="Y286" s="4">
        <f ca="1"/>
        <v>0</v>
      </c>
      <c r="Z286" s="4">
        <v>2.6803449104737115E-12</v>
      </c>
      <c r="AA286" s="13">
        <v>0</v>
      </c>
    </row>
    <row r="287" spans="23:27">
      <c r="W287" s="5">
        <f t="shared" si="26"/>
        <v>0.28150000000000019</v>
      </c>
      <c r="X287">
        <f t="shared" si="25"/>
        <v>83042.500000000058</v>
      </c>
      <c r="Y287" s="4">
        <f ca="1"/>
        <v>0</v>
      </c>
      <c r="Z287" s="4">
        <v>2.3940614514207744E-12</v>
      </c>
      <c r="AA287" s="13">
        <v>0</v>
      </c>
    </row>
    <row r="288" spans="23:27">
      <c r="W288" s="5">
        <f t="shared" si="26"/>
        <v>0.2825000000000002</v>
      </c>
      <c r="X288">
        <f t="shared" si="25"/>
        <v>83337.500000000058</v>
      </c>
      <c r="Y288" s="4">
        <f ca="1"/>
        <v>0</v>
      </c>
      <c r="Z288" s="4">
        <v>2.1359334985928561E-12</v>
      </c>
      <c r="AA288" s="13">
        <v>0</v>
      </c>
    </row>
    <row r="289" spans="23:27">
      <c r="W289" s="5">
        <f t="shared" si="26"/>
        <v>0.2835000000000002</v>
      </c>
      <c r="X289">
        <f t="shared" si="25"/>
        <v>83632.500000000058</v>
      </c>
      <c r="Y289" s="4">
        <f ca="1"/>
        <v>0</v>
      </c>
      <c r="Z289" s="4">
        <v>1.9036234329665622E-12</v>
      </c>
      <c r="AA289" s="13">
        <v>0</v>
      </c>
    </row>
    <row r="290" spans="23:27">
      <c r="W290" s="5">
        <f t="shared" si="26"/>
        <v>0.2845000000000002</v>
      </c>
      <c r="X290">
        <f t="shared" si="25"/>
        <v>83927.500000000058</v>
      </c>
      <c r="Y290" s="4">
        <f ca="1"/>
        <v>0</v>
      </c>
      <c r="Z290" s="4">
        <v>1.6949333491406517E-12</v>
      </c>
      <c r="AA290" s="13">
        <v>0</v>
      </c>
    </row>
    <row r="291" spans="23:27">
      <c r="W291" s="5">
        <f t="shared" si="26"/>
        <v>0.2855000000000002</v>
      </c>
      <c r="X291">
        <f t="shared" si="25"/>
        <v>84222.500000000058</v>
      </c>
      <c r="Y291" s="4">
        <f ca="1"/>
        <v>0</v>
      </c>
      <c r="Z291" s="4">
        <v>1.507803015205459E-12</v>
      </c>
      <c r="AA291" s="13">
        <v>0</v>
      </c>
    </row>
    <row r="292" spans="23:27">
      <c r="W292" s="5">
        <f t="shared" si="26"/>
        <v>0.2865000000000002</v>
      </c>
      <c r="X292">
        <f t="shared" si="25"/>
        <v>84517.500000000058</v>
      </c>
      <c r="Y292" s="4">
        <f ca="1"/>
        <v>0</v>
      </c>
      <c r="Z292" s="4">
        <v>1.3403070409909103E-12</v>
      </c>
      <c r="AA292" s="13">
        <v>0</v>
      </c>
    </row>
    <row r="293" spans="23:27">
      <c r="W293" s="5">
        <f t="shared" si="26"/>
        <v>0.2875000000000002</v>
      </c>
      <c r="X293">
        <f t="shared" si="25"/>
        <v>84812.500000000058</v>
      </c>
      <c r="Y293" s="4">
        <f ca="1"/>
        <v>0</v>
      </c>
      <c r="Z293" s="4">
        <v>1.1906513594095157E-12</v>
      </c>
      <c r="AA293" s="13">
        <v>0</v>
      </c>
    </row>
    <row r="294" spans="23:27">
      <c r="W294" s="5">
        <f t="shared" si="26"/>
        <v>0.2885000000000002</v>
      </c>
      <c r="X294">
        <f t="shared" si="25"/>
        <v>85107.500000000058</v>
      </c>
      <c r="Y294" s="4">
        <f ca="1"/>
        <v>0</v>
      </c>
      <c r="Z294" s="4">
        <v>1.0571691229507424E-12</v>
      </c>
      <c r="AA294" s="13">
        <v>0</v>
      </c>
    </row>
    <row r="295" spans="23:27">
      <c r="W295" s="5">
        <f t="shared" si="26"/>
        <v>0.2895000000000002</v>
      </c>
      <c r="X295">
        <f t="shared" si="25"/>
        <v>85402.500000000058</v>
      </c>
      <c r="Y295" s="4">
        <f ca="1"/>
        <v>0</v>
      </c>
      <c r="Z295" s="4">
        <v>9.3831611354305311E-13</v>
      </c>
      <c r="AA295" s="13">
        <v>0</v>
      </c>
    </row>
    <row r="296" spans="23:27">
      <c r="W296" s="5">
        <f t="shared" si="26"/>
        <v>0.2905000000000002</v>
      </c>
      <c r="X296">
        <f t="shared" si="25"/>
        <v>85697.500000000058</v>
      </c>
      <c r="Y296" s="4">
        <f ca="1"/>
        <v>0</v>
      </c>
      <c r="Z296" s="4">
        <v>8.326657591913347E-13</v>
      </c>
      <c r="AA296" s="13">
        <v>0</v>
      </c>
    </row>
    <row r="297" spans="23:27">
      <c r="W297" s="5">
        <f t="shared" si="26"/>
        <v>0.2915000000000002</v>
      </c>
      <c r="X297">
        <f t="shared" si="25"/>
        <v>85992.500000000058</v>
      </c>
      <c r="Y297" s="4">
        <f ca="1"/>
        <v>0</v>
      </c>
      <c r="Z297" s="4">
        <v>7.3890384522023852E-13</v>
      </c>
      <c r="AA297" s="13">
        <v>0</v>
      </c>
    </row>
    <row r="298" spans="23:27">
      <c r="W298" s="5">
        <f t="shared" si="26"/>
        <v>0.2925000000000002</v>
      </c>
      <c r="X298">
        <f t="shared" si="25"/>
        <v>86287.500000000058</v>
      </c>
      <c r="Y298" s="4">
        <f ca="1"/>
        <v>0</v>
      </c>
      <c r="Z298" s="4">
        <v>6.5582300179313596E-13</v>
      </c>
      <c r="AA298" s="13">
        <v>0</v>
      </c>
    </row>
    <row r="299" spans="23:27">
      <c r="W299" s="5">
        <f t="shared" si="26"/>
        <v>0.29350000000000021</v>
      </c>
      <c r="X299">
        <f t="shared" si="25"/>
        <v>86582.500000000058</v>
      </c>
      <c r="Y299" s="4">
        <f ca="1"/>
        <v>0</v>
      </c>
      <c r="Z299" s="4">
        <v>5.823170428030035E-13</v>
      </c>
      <c r="AA299" s="13">
        <v>0</v>
      </c>
    </row>
    <row r="300" spans="23:27">
      <c r="W300" s="5">
        <f t="shared" si="26"/>
        <v>0.29450000000000021</v>
      </c>
      <c r="X300">
        <f t="shared" si="25"/>
        <v>86877.500000000058</v>
      </c>
      <c r="Y300" s="4">
        <f ca="1"/>
        <v>0</v>
      </c>
      <c r="Z300" s="4">
        <v>5.1737522440035457E-13</v>
      </c>
      <c r="AA300" s="13">
        <v>0</v>
      </c>
    </row>
    <row r="301" spans="23:27">
      <c r="W301" s="5">
        <f t="shared" si="26"/>
        <v>0.29550000000000021</v>
      </c>
      <c r="X301">
        <f t="shared" si="25"/>
        <v>87172.500000000058</v>
      </c>
      <c r="Y301" s="4">
        <f ca="1"/>
        <v>0</v>
      </c>
      <c r="Z301" s="4">
        <v>4.6007648447384908E-13</v>
      </c>
      <c r="AA301" s="13">
        <v>0</v>
      </c>
    </row>
    <row r="302" spans="23:27">
      <c r="W302" s="5">
        <f t="shared" si="26"/>
        <v>0.29650000000000021</v>
      </c>
      <c r="X302">
        <f t="shared" si="25"/>
        <v>87467.500000000058</v>
      </c>
      <c r="Y302" s="4">
        <f ca="1"/>
        <v>0</v>
      </c>
      <c r="Z302" s="4">
        <v>4.0958371745420722E-13</v>
      </c>
      <c r="AA302" s="13">
        <v>0</v>
      </c>
    </row>
    <row r="303" spans="23:27">
      <c r="W303" s="5">
        <f t="shared" si="26"/>
        <v>0.29750000000000021</v>
      </c>
      <c r="X303">
        <f t="shared" si="25"/>
        <v>87762.500000000058</v>
      </c>
      <c r="Y303" s="4">
        <f ca="1"/>
        <v>0</v>
      </c>
      <c r="Z303" s="4">
        <v>3.6513813197861524E-13</v>
      </c>
      <c r="AA303" s="13">
        <v>0</v>
      </c>
    </row>
    <row r="304" spans="23:27">
      <c r="W304" s="5">
        <f t="shared" si="26"/>
        <v>0.29850000000000021</v>
      </c>
      <c r="X304">
        <f t="shared" si="25"/>
        <v>88057.500000000058</v>
      </c>
      <c r="Y304" s="4">
        <f ca="1"/>
        <v>0</v>
      </c>
      <c r="Z304" s="4">
        <v>3.2605373232199017E-13</v>
      </c>
      <c r="AA304" s="13">
        <v>0</v>
      </c>
    </row>
    <row r="305" spans="23:27">
      <c r="W305" s="5">
        <f t="shared" si="26"/>
        <v>0.29950000000000021</v>
      </c>
      <c r="X305">
        <f t="shared" si="25"/>
        <v>88352.500000000058</v>
      </c>
      <c r="Y305" s="4">
        <f ca="1"/>
        <v>0</v>
      </c>
      <c r="Z305" s="4">
        <v>2.9171195814901821E-13</v>
      </c>
      <c r="AA305" s="13">
        <v>0</v>
      </c>
    </row>
    <row r="306" spans="23:27">
      <c r="W306" s="5">
        <f t="shared" si="26"/>
        <v>0.30050000000000021</v>
      </c>
      <c r="X306">
        <f t="shared" si="25"/>
        <v>88647.500000000058</v>
      </c>
      <c r="Y306" s="4">
        <f ca="1"/>
        <v>0</v>
      </c>
      <c r="Z306" s="4">
        <v>2.6155651112795198E-13</v>
      </c>
      <c r="AA306" s="13">
        <v>0</v>
      </c>
    </row>
    <row r="307" spans="23:27">
      <c r="W307" s="5">
        <f t="shared" si="26"/>
        <v>0.30150000000000021</v>
      </c>
      <c r="X307">
        <f t="shared" si="25"/>
        <v>88942.500000000058</v>
      </c>
      <c r="Y307" s="4">
        <f ca="1"/>
        <v>0</v>
      </c>
      <c r="Z307" s="4">
        <v>2.3508839132109343E-13</v>
      </c>
      <c r="AA307" s="13">
        <v>0</v>
      </c>
    </row>
    <row r="308" spans="23:27">
      <c r="W308" s="5">
        <f t="shared" si="26"/>
        <v>0.30250000000000021</v>
      </c>
      <c r="X308">
        <f t="shared" si="25"/>
        <v>89237.500000000058</v>
      </c>
      <c r="Y308" s="4">
        <f ca="1"/>
        <v>0</v>
      </c>
      <c r="Z308" s="4">
        <v>2.1186116106219178E-13</v>
      </c>
      <c r="AA308" s="13">
        <v>0</v>
      </c>
    </row>
    <row r="309" spans="23:27">
      <c r="W309" s="5">
        <f t="shared" si="26"/>
        <v>0.30350000000000021</v>
      </c>
      <c r="X309">
        <f t="shared" si="25"/>
        <v>89532.500000000058</v>
      </c>
      <c r="Y309" s="4">
        <f ca="1"/>
        <v>0</v>
      </c>
      <c r="Z309" s="4">
        <v>1.9147644927042044E-13</v>
      </c>
      <c r="AA309" s="13">
        <v>0</v>
      </c>
    </row>
    <row r="310" spans="23:27">
      <c r="W310" s="5">
        <f t="shared" si="26"/>
        <v>0.30450000000000021</v>
      </c>
      <c r="X310">
        <f t="shared" si="25"/>
        <v>89827.500000000058</v>
      </c>
      <c r="Y310" s="4">
        <f ca="1"/>
        <v>0</v>
      </c>
      <c r="Z310" s="4">
        <v>1.7357970484636438E-13</v>
      </c>
      <c r="AA310" s="13">
        <v>0</v>
      </c>
    </row>
    <row r="311" spans="23:27">
      <c r="W311" s="5">
        <f t="shared" si="26"/>
        <v>0.30550000000000022</v>
      </c>
      <c r="X311">
        <f t="shared" si="25"/>
        <v>90122.500000000058</v>
      </c>
      <c r="Y311" s="4">
        <f ca="1"/>
        <v>0</v>
      </c>
      <c r="Z311" s="4">
        <v>1.5785620395020616E-13</v>
      </c>
      <c r="AA311" s="13">
        <v>0</v>
      </c>
    </row>
    <row r="312" spans="23:27">
      <c r="W312" s="5">
        <f t="shared" si="26"/>
        <v>0.30650000000000022</v>
      </c>
      <c r="X312">
        <f t="shared" si="25"/>
        <v>90417.500000000058</v>
      </c>
      <c r="Y312" s="4">
        <f ca="1"/>
        <v>0</v>
      </c>
      <c r="Z312" s="4">
        <v>1.4402731257055979E-13</v>
      </c>
      <c r="AA312" s="13">
        <v>0</v>
      </c>
    </row>
    <row r="313" spans="23:27">
      <c r="W313" s="5">
        <f t="shared" si="26"/>
        <v>0.30750000000000022</v>
      </c>
      <c r="X313">
        <f t="shared" si="25"/>
        <v>90712.500000000058</v>
      </c>
      <c r="Y313" s="4">
        <f ca="1"/>
        <v>0</v>
      </c>
      <c r="Z313" s="4">
        <v>1.3184700284136581E-13</v>
      </c>
      <c r="AA313" s="13">
        <v>0</v>
      </c>
    </row>
    <row r="314" spans="23:27">
      <c r="W314" s="5">
        <f t="shared" si="26"/>
        <v>0.30850000000000022</v>
      </c>
      <c r="X314">
        <f t="shared" si="25"/>
        <v>91007.500000000058</v>
      </c>
      <c r="Y314" s="4">
        <f ca="1"/>
        <v>0</v>
      </c>
      <c r="Z314" s="4">
        <v>1.2109861903515955E-13</v>
      </c>
      <c r="AA314" s="13">
        <v>0</v>
      </c>
    </row>
    <row r="315" spans="23:27">
      <c r="W315" s="5">
        <f t="shared" si="26"/>
        <v>0.30950000000000022</v>
      </c>
      <c r="X315">
        <f t="shared" si="25"/>
        <v>91302.500000000058</v>
      </c>
      <c r="Y315" s="4">
        <f ca="1"/>
        <v>0</v>
      </c>
      <c r="Z315" s="4">
        <v>1.1159188702981915E-13</v>
      </c>
      <c r="AA315" s="13">
        <v>0</v>
      </c>
    </row>
    <row r="316" spans="23:27">
      <c r="W316" s="5">
        <f t="shared" si="26"/>
        <v>0.31050000000000022</v>
      </c>
      <c r="X316">
        <f t="shared" si="25"/>
        <v>91597.500000000058</v>
      </c>
      <c r="Y316" s="4">
        <f ca="1"/>
        <v>0</v>
      </c>
      <c r="Z316" s="4">
        <v>1.0316015928421943E-13</v>
      </c>
      <c r="AA316" s="13">
        <v>0</v>
      </c>
    </row>
    <row r="317" spans="23:27">
      <c r="W317" s="5">
        <f t="shared" si="26"/>
        <v>0.31150000000000022</v>
      </c>
      <c r="X317">
        <f t="shared" si="25"/>
        <v>91892.500000000058</v>
      </c>
      <c r="Y317" s="4">
        <f ca="1"/>
        <v>0</v>
      </c>
      <c r="Z317" s="4">
        <v>9.565788593387313E-14</v>
      </c>
      <c r="AA317" s="13">
        <v>0</v>
      </c>
    </row>
    <row r="318" spans="23:27">
      <c r="W318" s="5">
        <f t="shared" si="26"/>
        <v>0.31250000000000022</v>
      </c>
      <c r="X318">
        <f t="shared" si="25"/>
        <v>92187.500000000073</v>
      </c>
      <c r="Y318" s="4">
        <f ca="1"/>
        <v>0</v>
      </c>
      <c r="Z318" s="4">
        <v>8.8958301494958611E-14</v>
      </c>
      <c r="AA318" s="13">
        <v>0</v>
      </c>
    </row>
    <row r="319" spans="23:27">
      <c r="W319" s="5">
        <f t="shared" si="26"/>
        <v>0.31350000000000022</v>
      </c>
      <c r="X319">
        <f t="shared" si="25"/>
        <v>92482.500000000073</v>
      </c>
      <c r="Y319" s="4">
        <f ca="1"/>
        <v>0</v>
      </c>
      <c r="Z319" s="4">
        <v>8.2951319736803708E-14</v>
      </c>
      <c r="AA319" s="13">
        <v>0</v>
      </c>
    </row>
    <row r="320" spans="23:27">
      <c r="W320" s="5">
        <f t="shared" si="26"/>
        <v>0.31450000000000022</v>
      </c>
      <c r="X320">
        <f t="shared" si="25"/>
        <v>92777.500000000073</v>
      </c>
      <c r="Y320" s="4">
        <f ca="1"/>
        <v>0</v>
      </c>
      <c r="Z320" s="4">
        <v>7.7541622435711545E-14</v>
      </c>
      <c r="AA320" s="13">
        <v>0</v>
      </c>
    </row>
    <row r="321" spans="23:27">
      <c r="W321" s="5">
        <f t="shared" si="26"/>
        <v>0.31550000000000022</v>
      </c>
      <c r="X321">
        <f t="shared" si="25"/>
        <v>93072.500000000073</v>
      </c>
      <c r="Y321" s="4">
        <f ca="1"/>
        <v>0</v>
      </c>
      <c r="Z321" s="4">
        <v>7.264692784590782E-14</v>
      </c>
      <c r="AA321" s="13">
        <v>0</v>
      </c>
    </row>
    <row r="322" spans="23:27">
      <c r="W322" s="5">
        <f t="shared" si="26"/>
        <v>0.31650000000000023</v>
      </c>
      <c r="X322">
        <f t="shared" si="25"/>
        <v>93367.500000000073</v>
      </c>
      <c r="Y322" s="4">
        <f ca="1"/>
        <v>0</v>
      </c>
      <c r="Z322" s="4">
        <v>6.8196407159362095E-14</v>
      </c>
      <c r="AA322" s="13">
        <v>0</v>
      </c>
    </row>
    <row r="323" spans="23:27">
      <c r="W323" s="5">
        <f t="shared" si="26"/>
        <v>0.31750000000000023</v>
      </c>
      <c r="X323">
        <f t="shared" si="25"/>
        <v>93662.500000000073</v>
      </c>
      <c r="Y323" s="4">
        <f ca="1"/>
        <v>0</v>
      </c>
      <c r="Z323" s="4">
        <v>6.4129293243094577E-14</v>
      </c>
      <c r="AA323" s="13">
        <v>0</v>
      </c>
    </row>
    <row r="324" spans="23:27">
      <c r="W324" s="5">
        <f t="shared" si="26"/>
        <v>0.31850000000000023</v>
      </c>
      <c r="X324">
        <f t="shared" si="25"/>
        <v>93957.500000000073</v>
      </c>
      <c r="Y324" s="4">
        <f ca="1"/>
        <v>0</v>
      </c>
      <c r="Z324" s="4">
        <v>6.039361728274896E-14</v>
      </c>
      <c r="AA324" s="13">
        <v>0</v>
      </c>
    </row>
    <row r="325" spans="23:27">
      <c r="W325" s="5">
        <f t="shared" si="26"/>
        <v>0.31950000000000023</v>
      </c>
      <c r="X325">
        <f t="shared" ref="X325:X388" si="27">W325*$C$21</f>
        <v>94252.500000000073</v>
      </c>
      <c r="Y325" s="4">
        <f ca="1"/>
        <v>0</v>
      </c>
      <c r="Z325" s="4">
        <v>5.6945079655556358E-14</v>
      </c>
      <c r="AA325" s="13">
        <v>0</v>
      </c>
    </row>
    <row r="326" spans="23:27">
      <c r="W326" s="5">
        <f t="shared" si="26"/>
        <v>0.32050000000000023</v>
      </c>
      <c r="X326">
        <f t="shared" si="27"/>
        <v>94547.500000000073</v>
      </c>
      <c r="Y326" s="4">
        <f ca="1"/>
        <v>0</v>
      </c>
      <c r="Z326" s="4">
        <v>5.3746043740820378E-14</v>
      </c>
      <c r="AA326" s="13">
        <v>0</v>
      </c>
    </row>
    <row r="327" spans="23:27">
      <c r="W327" s="5">
        <f t="shared" ref="W327:W390" si="28">W326+1/$C$18</f>
        <v>0.32150000000000023</v>
      </c>
      <c r="X327">
        <f t="shared" si="27"/>
        <v>94842.500000000073</v>
      </c>
      <c r="Y327" s="4">
        <f ca="1"/>
        <v>0</v>
      </c>
      <c r="Z327" s="4">
        <v>5.0764641930306342E-14</v>
      </c>
      <c r="AA327" s="13">
        <v>0</v>
      </c>
    </row>
    <row r="328" spans="23:27">
      <c r="W328" s="5">
        <f t="shared" si="28"/>
        <v>0.32250000000000023</v>
      </c>
      <c r="X328">
        <f t="shared" si="27"/>
        <v>95137.500000000073</v>
      </c>
      <c r="Y328" s="4">
        <f ca="1"/>
        <v>0</v>
      </c>
      <c r="Z328" s="4">
        <v>4.7973983684911283E-14</v>
      </c>
      <c r="AA328" s="13">
        <v>0</v>
      </c>
    </row>
    <row r="329" spans="23:27">
      <c r="W329" s="5">
        <f t="shared" si="28"/>
        <v>0.32350000000000023</v>
      </c>
      <c r="X329">
        <f t="shared" si="27"/>
        <v>95432.500000000073</v>
      </c>
      <c r="Y329" s="4">
        <f ca="1"/>
        <v>0</v>
      </c>
      <c r="Z329" s="4">
        <v>4.5351456088889762E-14</v>
      </c>
      <c r="AA329" s="13">
        <v>0</v>
      </c>
    </row>
    <row r="330" spans="23:27">
      <c r="W330" s="5">
        <f t="shared" si="28"/>
        <v>0.32450000000000023</v>
      </c>
      <c r="X330">
        <f t="shared" si="27"/>
        <v>95727.500000000073</v>
      </c>
      <c r="Y330" s="4">
        <f ca="1"/>
        <v>0</v>
      </c>
      <c r="Z330" s="4">
        <v>4.287810796953191E-14</v>
      </c>
      <c r="AA330" s="13">
        <v>0</v>
      </c>
    </row>
    <row r="331" spans="23:27">
      <c r="W331" s="5">
        <f t="shared" si="28"/>
        <v>0.32550000000000023</v>
      </c>
      <c r="X331">
        <f t="shared" si="27"/>
        <v>96022.500000000073</v>
      </c>
      <c r="Y331" s="4">
        <f ca="1"/>
        <v>0</v>
      </c>
      <c r="Z331" s="4">
        <v>4.0538109269697839E-14</v>
      </c>
      <c r="AA331" s="13">
        <v>0</v>
      </c>
    </row>
    <row r="332" spans="23:27">
      <c r="W332" s="5">
        <f t="shared" si="28"/>
        <v>0.32650000000000023</v>
      </c>
      <c r="X332">
        <f t="shared" si="27"/>
        <v>96317.500000000073</v>
      </c>
      <c r="Y332" s="4">
        <f ca="1"/>
        <v>0</v>
      </c>
      <c r="Z332" s="4">
        <v>3.8318277974944404E-14</v>
      </c>
      <c r="AA332" s="13">
        <v>0</v>
      </c>
    </row>
    <row r="333" spans="23:27">
      <c r="W333" s="5">
        <f t="shared" si="28"/>
        <v>0.32750000000000024</v>
      </c>
      <c r="X333">
        <f t="shared" si="27"/>
        <v>96612.500000000073</v>
      </c>
      <c r="Y333" s="4">
        <f ca="1"/>
        <v>0</v>
      </c>
      <c r="Z333" s="4">
        <v>3.6207667499074538E-14</v>
      </c>
      <c r="AA333" s="13">
        <v>0</v>
      </c>
    </row>
    <row r="334" spans="23:27">
      <c r="W334" s="5">
        <f t="shared" si="28"/>
        <v>0.32850000000000024</v>
      </c>
      <c r="X334">
        <f t="shared" si="27"/>
        <v>96907.500000000073</v>
      </c>
      <c r="Y334" s="4">
        <f ca="1"/>
        <v>0</v>
      </c>
      <c r="Z334" s="4">
        <v>3.4197208015845723E-14</v>
      </c>
      <c r="AA334" s="13">
        <v>0</v>
      </c>
    </row>
    <row r="335" spans="23:27">
      <c r="W335" s="5">
        <f t="shared" si="28"/>
        <v>0.32950000000000024</v>
      </c>
      <c r="X335">
        <f t="shared" si="27"/>
        <v>97202.500000000073</v>
      </c>
      <c r="Y335" s="4">
        <f ca="1"/>
        <v>0</v>
      </c>
      <c r="Z335" s="4">
        <v>3.2279395785474437E-14</v>
      </c>
      <c r="AA335" s="13">
        <v>0</v>
      </c>
    </row>
    <row r="336" spans="23:27">
      <c r="W336" s="5">
        <f t="shared" si="28"/>
        <v>0.33050000000000024</v>
      </c>
      <c r="X336">
        <f t="shared" si="27"/>
        <v>97497.500000000073</v>
      </c>
      <c r="Y336" s="4">
        <f ca="1"/>
        <v>0</v>
      </c>
      <c r="Z336" s="4">
        <v>3.0448025058734129E-14</v>
      </c>
      <c r="AA336" s="13">
        <v>0</v>
      </c>
    </row>
    <row r="337" spans="23:27">
      <c r="W337" s="5">
        <f t="shared" si="28"/>
        <v>0.33150000000000024</v>
      </c>
      <c r="X337">
        <f t="shared" si="27"/>
        <v>97792.500000000073</v>
      </c>
      <c r="Y337" s="4">
        <f ca="1"/>
        <v>0</v>
      </c>
      <c r="Z337" s="4">
        <v>2.8697957646151243E-14</v>
      </c>
      <c r="AA337" s="13">
        <v>0</v>
      </c>
    </row>
    <row r="338" spans="23:27">
      <c r="W338" s="5">
        <f t="shared" si="28"/>
        <v>0.33250000000000024</v>
      </c>
      <c r="X338">
        <f t="shared" si="27"/>
        <v>98087.500000000073</v>
      </c>
      <c r="Y338" s="4">
        <f ca="1"/>
        <v>0</v>
      </c>
      <c r="Z338" s="4">
        <v>2.7024925713255786E-14</v>
      </c>
      <c r="AA338" s="13">
        <v>0</v>
      </c>
    </row>
    <row r="339" spans="23:27">
      <c r="W339" s="5">
        <f t="shared" si="28"/>
        <v>0.33350000000000024</v>
      </c>
      <c r="X339">
        <f t="shared" si="27"/>
        <v>98382.500000000073</v>
      </c>
      <c r="Y339" s="4">
        <f ca="1"/>
        <v>0</v>
      </c>
      <c r="Z339" s="4">
        <v>2.5425363804046204E-14</v>
      </c>
      <c r="AA339" s="13">
        <v>0</v>
      </c>
    </row>
    <row r="340" spans="23:27">
      <c r="W340" s="5">
        <f t="shared" si="28"/>
        <v>0.33450000000000024</v>
      </c>
      <c r="X340">
        <f t="shared" si="27"/>
        <v>98677.500000000073</v>
      </c>
      <c r="Y340" s="4">
        <f ca="1"/>
        <v>0</v>
      </c>
      <c r="Z340" s="4">
        <v>2.3896266503483188E-14</v>
      </c>
      <c r="AA340" s="13">
        <v>0</v>
      </c>
    </row>
    <row r="341" spans="23:27">
      <c r="W341" s="5">
        <f t="shared" si="28"/>
        <v>0.33550000000000024</v>
      </c>
      <c r="X341">
        <f t="shared" si="27"/>
        <v>98972.500000000073</v>
      </c>
      <c r="Y341" s="4">
        <f ca="1"/>
        <v>0</v>
      </c>
      <c r="Z341" s="4">
        <v>2.2435068526215755E-14</v>
      </c>
      <c r="AA341" s="13">
        <v>0</v>
      </c>
    </row>
    <row r="342" spans="23:27">
      <c r="W342" s="5">
        <f t="shared" si="28"/>
        <v>0.33650000000000024</v>
      </c>
      <c r="X342">
        <f t="shared" si="27"/>
        <v>99267.500000000073</v>
      </c>
      <c r="Y342" s="4">
        <f ca="1"/>
        <v>0</v>
      </c>
      <c r="Z342" s="4">
        <v>2.1039544363622564E-14</v>
      </c>
      <c r="AA342" s="13">
        <v>0</v>
      </c>
    </row>
    <row r="343" spans="23:27">
      <c r="W343" s="5">
        <f t="shared" si="28"/>
        <v>0.33750000000000024</v>
      </c>
      <c r="X343">
        <f t="shared" si="27"/>
        <v>99562.500000000073</v>
      </c>
      <c r="Y343" s="4">
        <f ca="1"/>
        <v>0</v>
      </c>
      <c r="Z343" s="4">
        <v>1.970772493575741E-14</v>
      </c>
      <c r="AA343" s="13">
        <v>0</v>
      </c>
    </row>
    <row r="344" spans="23:27">
      <c r="W344" s="5">
        <f t="shared" si="28"/>
        <v>0.33850000000000025</v>
      </c>
      <c r="X344">
        <f t="shared" si="27"/>
        <v>99857.500000000073</v>
      </c>
      <c r="Y344" s="4">
        <f ca="1"/>
        <v>0</v>
      </c>
      <c r="Z344" s="4">
        <v>1.8437828980340502E-14</v>
      </c>
      <c r="AA344" s="13">
        <v>0</v>
      </c>
    </row>
    <row r="345" spans="23:27">
      <c r="W345" s="5">
        <f t="shared" si="28"/>
        <v>0.33950000000000025</v>
      </c>
      <c r="X345">
        <f t="shared" si="27"/>
        <v>100152.50000000007</v>
      </c>
      <c r="Y345" s="4">
        <f ca="1"/>
        <v>0</v>
      </c>
      <c r="Z345" s="4">
        <v>1.7228207169165431E-14</v>
      </c>
      <c r="AA345" s="13">
        <v>0</v>
      </c>
    </row>
    <row r="346" spans="23:27">
      <c r="W346" s="5">
        <f t="shared" si="28"/>
        <v>0.34050000000000025</v>
      </c>
      <c r="X346">
        <f t="shared" si="27"/>
        <v>100447.50000000007</v>
      </c>
      <c r="Y346" s="4">
        <f ca="1"/>
        <v>0</v>
      </c>
      <c r="Z346" s="4">
        <v>1.6077297174960286E-14</v>
      </c>
      <c r="AA346" s="13">
        <v>0</v>
      </c>
    </row>
    <row r="347" spans="23:27">
      <c r="W347" s="5">
        <f t="shared" si="28"/>
        <v>0.34150000000000025</v>
      </c>
      <c r="X347">
        <f t="shared" si="27"/>
        <v>100742.50000000007</v>
      </c>
      <c r="Y347" s="4">
        <f ca="1"/>
        <v>0</v>
      </c>
      <c r="Z347" s="4">
        <v>1.4983588120692412E-14</v>
      </c>
      <c r="AA347" s="13">
        <v>0</v>
      </c>
    </row>
    <row r="348" spans="23:27">
      <c r="W348" s="5">
        <f t="shared" si="28"/>
        <v>0.34250000000000025</v>
      </c>
      <c r="X348">
        <f t="shared" si="27"/>
        <v>101037.50000000007</v>
      </c>
      <c r="Y348" s="4">
        <f ca="1"/>
        <v>0</v>
      </c>
      <c r="Z348" s="4">
        <v>1.3945593030407576E-14</v>
      </c>
      <c r="AA348" s="13">
        <v>0</v>
      </c>
    </row>
    <row r="349" spans="23:27">
      <c r="W349" s="5">
        <f t="shared" si="28"/>
        <v>0.34350000000000025</v>
      </c>
      <c r="X349">
        <f t="shared" si="27"/>
        <v>101332.50000000007</v>
      </c>
      <c r="Y349" s="4">
        <f ca="1"/>
        <v>0</v>
      </c>
      <c r="Z349" s="4">
        <v>1.2961828067800346E-14</v>
      </c>
      <c r="AA349" s="13">
        <v>0</v>
      </c>
    </row>
    <row r="350" spans="23:27">
      <c r="W350" s="5">
        <f t="shared" si="28"/>
        <v>0.34450000000000025</v>
      </c>
      <c r="X350">
        <f t="shared" si="27"/>
        <v>101627.50000000007</v>
      </c>
      <c r="Y350" s="4">
        <f ca="1"/>
        <v>0</v>
      </c>
      <c r="Z350" s="4">
        <v>1.2030797497626767E-14</v>
      </c>
      <c r="AA350" s="13">
        <v>0</v>
      </c>
    </row>
    <row r="351" spans="23:27">
      <c r="W351" s="5">
        <f t="shared" si="28"/>
        <v>0.34550000000000025</v>
      </c>
      <c r="X351">
        <f t="shared" si="27"/>
        <v>101922.50000000007</v>
      </c>
      <c r="Y351" s="4">
        <f ca="1"/>
        <v>0</v>
      </c>
      <c r="Z351" s="4">
        <v>1.1150983437526246E-14</v>
      </c>
      <c r="AA351" s="13">
        <v>0</v>
      </c>
    </row>
    <row r="352" spans="23:27">
      <c r="W352" s="5">
        <f t="shared" si="28"/>
        <v>0.34650000000000025</v>
      </c>
      <c r="X352">
        <f t="shared" si="27"/>
        <v>102217.50000000007</v>
      </c>
      <c r="Y352" s="4">
        <f ca="1"/>
        <v>0</v>
      </c>
      <c r="Z352" s="4">
        <v>1.0320839585454005E-14</v>
      </c>
      <c r="AA352" s="13">
        <v>0</v>
      </c>
    </row>
    <row r="353" spans="23:27">
      <c r="W353" s="5">
        <f t="shared" si="28"/>
        <v>0.34750000000000025</v>
      </c>
      <c r="X353">
        <f t="shared" si="27"/>
        <v>102512.50000000007</v>
      </c>
      <c r="Y353" s="4">
        <f ca="1"/>
        <v>0</v>
      </c>
      <c r="Z353" s="4">
        <v>9.5387882122717301E-15</v>
      </c>
      <c r="AA353" s="13">
        <v>0</v>
      </c>
    </row>
    <row r="354" spans="23:27">
      <c r="W354" s="5">
        <f t="shared" si="28"/>
        <v>0.34850000000000025</v>
      </c>
      <c r="X354">
        <f t="shared" si="27"/>
        <v>102807.50000000007</v>
      </c>
      <c r="Y354" s="4">
        <f ca="1"/>
        <v>0</v>
      </c>
      <c r="Z354" s="4">
        <v>8.8032198015204713E-15</v>
      </c>
      <c r="AA354" s="13">
        <v>0</v>
      </c>
    </row>
    <row r="355" spans="23:27">
      <c r="W355" s="5">
        <f t="shared" si="28"/>
        <v>0.34950000000000025</v>
      </c>
      <c r="X355">
        <f t="shared" si="27"/>
        <v>103102.50000000007</v>
      </c>
      <c r="Y355" s="4">
        <f ca="1"/>
        <v>0</v>
      </c>
      <c r="Z355" s="4">
        <v>8.1124948003060829E-15</v>
      </c>
      <c r="AA355" s="13">
        <v>0</v>
      </c>
    </row>
    <row r="356" spans="23:27">
      <c r="W356" s="5">
        <f t="shared" si="28"/>
        <v>0.35050000000000026</v>
      </c>
      <c r="X356">
        <f t="shared" si="27"/>
        <v>103397.50000000007</v>
      </c>
      <c r="Y356" s="4">
        <f ca="1"/>
        <v>0</v>
      </c>
      <c r="Z356" s="4">
        <v>7.4649470177455094E-15</v>
      </c>
      <c r="AA356" s="13">
        <v>0</v>
      </c>
    </row>
    <row r="357" spans="23:27">
      <c r="W357" s="5">
        <f t="shared" si="28"/>
        <v>0.35150000000000026</v>
      </c>
      <c r="X357">
        <f t="shared" si="27"/>
        <v>103692.50000000007</v>
      </c>
      <c r="Y357" s="4">
        <f ca="1"/>
        <v>0</v>
      </c>
      <c r="Z357" s="4">
        <v>6.8588882716163681E-15</v>
      </c>
      <c r="AA357" s="13">
        <v>0</v>
      </c>
    </row>
    <row r="358" spans="23:27">
      <c r="W358" s="5">
        <f t="shared" si="28"/>
        <v>0.35250000000000026</v>
      </c>
      <c r="X358">
        <f t="shared" si="27"/>
        <v>103987.50000000007</v>
      </c>
      <c r="Y358" s="4">
        <f ca="1"/>
        <v>0</v>
      </c>
      <c r="Z358" s="4">
        <v>6.2926139406759903E-15</v>
      </c>
      <c r="AA358" s="13">
        <v>0</v>
      </c>
    </row>
    <row r="359" spans="23:27">
      <c r="W359" s="5">
        <f t="shared" si="28"/>
        <v>0.35350000000000026</v>
      </c>
      <c r="X359">
        <f t="shared" si="27"/>
        <v>104282.50000000007</v>
      </c>
      <c r="Y359" s="4">
        <f ca="1"/>
        <v>0</v>
      </c>
      <c r="Z359" s="4">
        <v>5.7644091304163792E-15</v>
      </c>
      <c r="AA359" s="13">
        <v>0</v>
      </c>
    </row>
    <row r="360" spans="23:27">
      <c r="W360" s="5">
        <f t="shared" si="28"/>
        <v>0.35450000000000026</v>
      </c>
      <c r="X360">
        <f t="shared" si="27"/>
        <v>104577.50000000007</v>
      </c>
      <c r="Y360" s="4">
        <f ca="1"/>
        <v>0</v>
      </c>
      <c r="Z360" s="4">
        <v>5.2725552045470021E-15</v>
      </c>
      <c r="AA360" s="13">
        <v>0</v>
      </c>
    </row>
    <row r="361" spans="23:27">
      <c r="W361" s="5">
        <f t="shared" si="28"/>
        <v>0.35550000000000026</v>
      </c>
      <c r="X361">
        <f t="shared" si="27"/>
        <v>104872.50000000007</v>
      </c>
      <c r="Y361" s="4">
        <f ca="1"/>
        <v>0</v>
      </c>
      <c r="Z361" s="4">
        <v>4.8153364739062441E-15</v>
      </c>
      <c r="AA361" s="13">
        <v>0</v>
      </c>
    </row>
    <row r="362" spans="23:27">
      <c r="W362" s="5">
        <f t="shared" si="28"/>
        <v>0.35650000000000026</v>
      </c>
      <c r="X362">
        <f t="shared" si="27"/>
        <v>105167.50000000007</v>
      </c>
      <c r="Y362" s="4">
        <f ca="1"/>
        <v>0</v>
      </c>
      <c r="Z362" s="4">
        <v>4.391046869370788E-15</v>
      </c>
      <c r="AA362" s="13">
        <v>0</v>
      </c>
    </row>
    <row r="363" spans="23:27">
      <c r="W363" s="5">
        <f t="shared" si="28"/>
        <v>0.35750000000000026</v>
      </c>
      <c r="X363">
        <f t="shared" si="27"/>
        <v>105462.50000000007</v>
      </c>
      <c r="Y363" s="4">
        <f ca="1"/>
        <v>0</v>
      </c>
      <c r="Z363" s="4">
        <v>3.9979964561623232E-15</v>
      </c>
      <c r="AA363" s="13">
        <v>0</v>
      </c>
    </row>
    <row r="364" spans="23:27">
      <c r="W364" s="5">
        <f t="shared" si="28"/>
        <v>0.35850000000000026</v>
      </c>
      <c r="X364">
        <f t="shared" si="27"/>
        <v>105757.50000000007</v>
      </c>
      <c r="Y364" s="4">
        <f ca="1"/>
        <v>0</v>
      </c>
      <c r="Z364" s="4">
        <v>3.6345176741806466E-15</v>
      </c>
      <c r="AA364" s="13">
        <v>0</v>
      </c>
    </row>
    <row r="365" spans="23:27">
      <c r="W365" s="5">
        <f t="shared" si="28"/>
        <v>0.35950000000000026</v>
      </c>
      <c r="X365">
        <f t="shared" si="27"/>
        <v>106052.50000000007</v>
      </c>
      <c r="Y365" s="4">
        <f ca="1"/>
        <v>0</v>
      </c>
      <c r="Z365" s="4">
        <v>3.2989712130009754E-15</v>
      </c>
      <c r="AA365" s="13">
        <v>0</v>
      </c>
    </row>
    <row r="366" spans="23:27">
      <c r="W366" s="5">
        <f t="shared" si="28"/>
        <v>0.36050000000000026</v>
      </c>
      <c r="X366">
        <f t="shared" si="27"/>
        <v>106347.50000000007</v>
      </c>
      <c r="Y366" s="4">
        <f ca="1"/>
        <v>0</v>
      </c>
      <c r="Z366" s="4">
        <v>2.989751451292339E-15</v>
      </c>
      <c r="AA366" s="13">
        <v>0</v>
      </c>
    </row>
    <row r="367" spans="23:27">
      <c r="W367" s="5">
        <f t="shared" si="28"/>
        <v>0.36150000000000027</v>
      </c>
      <c r="X367">
        <f t="shared" si="27"/>
        <v>106642.50000000007</v>
      </c>
      <c r="Y367" s="4">
        <f ca="1"/>
        <v>0</v>
      </c>
      <c r="Z367" s="4">
        <v>2.7052914089311384E-15</v>
      </c>
      <c r="AA367" s="13">
        <v>0</v>
      </c>
    </row>
    <row r="368" spans="23:27">
      <c r="W368" s="5">
        <f t="shared" si="28"/>
        <v>0.36250000000000027</v>
      </c>
      <c r="X368">
        <f t="shared" si="27"/>
        <v>106937.50000000007</v>
      </c>
      <c r="Y368" s="4">
        <f ca="1"/>
        <v>0</v>
      </c>
      <c r="Z368" s="4">
        <v>2.4440671762512616E-15</v>
      </c>
      <c r="AA368" s="13">
        <v>0</v>
      </c>
    </row>
    <row r="369" spans="23:27">
      <c r="W369" s="5">
        <f t="shared" si="28"/>
        <v>0.36350000000000027</v>
      </c>
      <c r="X369">
        <f t="shared" si="27"/>
        <v>107232.50000000007</v>
      </c>
      <c r="Y369" s="4">
        <f ca="1"/>
        <v>0</v>
      </c>
      <c r="Z369" s="4">
        <v>2.2046017989117266E-15</v>
      </c>
      <c r="AA369" s="13">
        <v>0</v>
      </c>
    </row>
    <row r="370" spans="23:27">
      <c r="W370" s="5">
        <f t="shared" si="28"/>
        <v>0.36450000000000027</v>
      </c>
      <c r="X370">
        <f t="shared" si="27"/>
        <v>107527.50000000007</v>
      </c>
      <c r="Y370" s="4">
        <f ca="1"/>
        <v>0</v>
      </c>
      <c r="Z370" s="4">
        <v>1.9854686089705457E-15</v>
      </c>
      <c r="AA370" s="13">
        <v>0</v>
      </c>
    </row>
    <row r="371" spans="23:27">
      <c r="W371" s="5">
        <f t="shared" si="28"/>
        <v>0.36550000000000027</v>
      </c>
      <c r="X371">
        <f t="shared" si="27"/>
        <v>107822.50000000007</v>
      </c>
      <c r="Y371" s="4">
        <f ca="1"/>
        <v>0</v>
      </c>
      <c r="Z371" s="4">
        <v>1.7852940031051529E-15</v>
      </c>
      <c r="AA371" s="13">
        <v>0</v>
      </c>
    </row>
    <row r="372" spans="23:27">
      <c r="W372" s="5">
        <f t="shared" si="28"/>
        <v>0.36650000000000027</v>
      </c>
      <c r="X372">
        <f t="shared" si="27"/>
        <v>108117.50000000007</v>
      </c>
      <c r="Y372" s="4">
        <f ca="1"/>
        <v>0</v>
      </c>
      <c r="Z372" s="4">
        <v>1.6027596776733065E-15</v>
      </c>
      <c r="AA372" s="13">
        <v>0</v>
      </c>
    </row>
    <row r="373" spans="23:27">
      <c r="W373" s="5">
        <f t="shared" si="28"/>
        <v>0.36750000000000027</v>
      </c>
      <c r="X373">
        <f t="shared" si="27"/>
        <v>108412.50000000007</v>
      </c>
      <c r="Y373" s="4">
        <f ca="1"/>
        <v>0</v>
      </c>
      <c r="Z373" s="4">
        <v>1.4366043376083728E-15</v>
      </c>
      <c r="AA373" s="13">
        <v>0</v>
      </c>
    </row>
    <row r="374" spans="23:27">
      <c r="W374" s="5">
        <f t="shared" si="28"/>
        <v>0.36850000000000027</v>
      </c>
      <c r="X374">
        <f t="shared" si="27"/>
        <v>108707.50000000009</v>
      </c>
      <c r="Y374" s="4">
        <f ca="1"/>
        <v>0</v>
      </c>
      <c r="Z374" s="4">
        <v>1.2856249021213721E-15</v>
      </c>
      <c r="AA374" s="13">
        <v>0</v>
      </c>
    </row>
    <row r="375" spans="23:27">
      <c r="W375" s="5">
        <f t="shared" si="28"/>
        <v>0.36950000000000027</v>
      </c>
      <c r="X375">
        <f t="shared" si="27"/>
        <v>109002.50000000009</v>
      </c>
      <c r="Y375" s="4">
        <f ca="1"/>
        <v>0</v>
      </c>
      <c r="Z375" s="4">
        <v>1.1486772349628167E-15</v>
      </c>
      <c r="AA375" s="13">
        <v>0</v>
      </c>
    </row>
    <row r="376" spans="23:27">
      <c r="W376" s="5">
        <f t="shared" si="28"/>
        <v>0.37050000000000027</v>
      </c>
      <c r="X376">
        <f t="shared" si="27"/>
        <v>109297.50000000009</v>
      </c>
      <c r="Y376" s="4">
        <f ca="1"/>
        <v>0</v>
      </c>
      <c r="Z376" s="4">
        <v>1.0246764306950026E-15</v>
      </c>
      <c r="AA376" s="13">
        <v>0</v>
      </c>
    </row>
    <row r="377" spans="23:27">
      <c r="W377" s="5">
        <f t="shared" si="28"/>
        <v>0.37150000000000027</v>
      </c>
      <c r="X377">
        <f t="shared" si="27"/>
        <v>109592.50000000009</v>
      </c>
      <c r="Y377" s="4">
        <f ca="1"/>
        <v>0</v>
      </c>
      <c r="Z377" s="4">
        <v>9.1259669114860937E-16</v>
      </c>
      <c r="AA377" s="13">
        <v>0</v>
      </c>
    </row>
    <row r="378" spans="23:27">
      <c r="W378" s="5">
        <f t="shared" si="28"/>
        <v>0.37250000000000028</v>
      </c>
      <c r="X378">
        <f t="shared" si="27"/>
        <v>109887.50000000009</v>
      </c>
      <c r="Y378" s="4">
        <f ca="1"/>
        <v>0</v>
      </c>
      <c r="Z378" s="4">
        <v>8.1147082808920741E-16</v>
      </c>
      <c r="AA378" s="13">
        <v>0</v>
      </c>
    </row>
    <row r="379" spans="23:27">
      <c r="W379" s="5">
        <f t="shared" si="28"/>
        <v>0.37350000000000028</v>
      </c>
      <c r="X379">
        <f t="shared" si="27"/>
        <v>110182.50000000009</v>
      </c>
      <c r="Y379" s="4">
        <f ca="1"/>
        <v>0</v>
      </c>
      <c r="Z379" s="4">
        <v>7.2038942919639446E-16</v>
      </c>
      <c r="AA379" s="13">
        <v>0</v>
      </c>
    </row>
    <row r="380" spans="23:27">
      <c r="W380" s="5">
        <f t="shared" si="28"/>
        <v>0.37450000000000028</v>
      </c>
      <c r="X380">
        <f t="shared" si="27"/>
        <v>110477.50000000009</v>
      </c>
      <c r="Y380" s="4">
        <f ca="1"/>
        <v>0</v>
      </c>
      <c r="Z380" s="4">
        <v>6.3849972485396752E-16</v>
      </c>
      <c r="AA380" s="13">
        <v>0</v>
      </c>
    </row>
    <row r="381" spans="23:27">
      <c r="W381" s="5">
        <f t="shared" si="28"/>
        <v>0.37550000000000028</v>
      </c>
      <c r="X381">
        <f t="shared" si="27"/>
        <v>110772.50000000009</v>
      </c>
      <c r="Y381" s="4">
        <f ca="1"/>
        <v>0</v>
      </c>
      <c r="Z381" s="4">
        <v>5.6500419305108762E-16</v>
      </c>
      <c r="AA381" s="13">
        <v>0</v>
      </c>
    </row>
    <row r="382" spans="23:27">
      <c r="W382" s="5">
        <f t="shared" si="28"/>
        <v>0.37650000000000028</v>
      </c>
      <c r="X382">
        <f t="shared" si="27"/>
        <v>111067.50000000009</v>
      </c>
      <c r="Y382" s="4">
        <f ca="1"/>
        <v>0</v>
      </c>
      <c r="Z382" s="4">
        <v>4.9915893898525992E-16</v>
      </c>
      <c r="AA382" s="13">
        <v>0</v>
      </c>
    </row>
    <row r="383" spans="23:27">
      <c r="W383" s="5">
        <f t="shared" si="28"/>
        <v>0.37750000000000028</v>
      </c>
      <c r="X383">
        <f t="shared" si="27"/>
        <v>111362.50000000009</v>
      </c>
      <c r="Y383" s="4">
        <f ca="1"/>
        <v>0</v>
      </c>
      <c r="Z383" s="4">
        <v>4.4027188481649972E-16</v>
      </c>
      <c r="AA383" s="13">
        <v>0</v>
      </c>
    </row>
    <row r="384" spans="23:27">
      <c r="W384" s="5">
        <f t="shared" si="28"/>
        <v>0.37850000000000028</v>
      </c>
      <c r="X384">
        <f t="shared" si="27"/>
        <v>111657.50000000009</v>
      </c>
      <c r="Y384" s="4">
        <f ca="1"/>
        <v>0</v>
      </c>
      <c r="Z384" s="4">
        <v>3.8770080352188847E-16</v>
      </c>
      <c r="AA384" s="13">
        <v>0</v>
      </c>
    </row>
    <row r="385" spans="23:27">
      <c r="W385" s="5">
        <f t="shared" si="28"/>
        <v>0.37950000000000028</v>
      </c>
      <c r="X385">
        <f t="shared" si="27"/>
        <v>111952.50000000009</v>
      </c>
      <c r="Y385" s="4">
        <f ca="1"/>
        <v>0</v>
      </c>
      <c r="Z385" s="4">
        <v>3.4085122900974382E-16</v>
      </c>
      <c r="AA385" s="13">
        <v>0</v>
      </c>
    </row>
    <row r="386" spans="23:27">
      <c r="W386" s="5">
        <f t="shared" si="28"/>
        <v>0.38050000000000028</v>
      </c>
      <c r="X386">
        <f t="shared" si="27"/>
        <v>112247.50000000009</v>
      </c>
      <c r="Y386" s="4">
        <f ca="1"/>
        <v>0</v>
      </c>
      <c r="Z386" s="4">
        <v>2.9917427263632252E-16</v>
      </c>
      <c r="AA386" s="13">
        <v>0</v>
      </c>
    </row>
    <row r="387" spans="23:27">
      <c r="W387" s="5">
        <f t="shared" si="28"/>
        <v>0.38150000000000028</v>
      </c>
      <c r="X387">
        <f t="shared" si="27"/>
        <v>112542.50000000009</v>
      </c>
      <c r="Y387" s="4">
        <f ca="1"/>
        <v>0</v>
      </c>
      <c r="Z387" s="4">
        <v>2.6216437408406914E-16</v>
      </c>
      <c r="AA387" s="13">
        <v>0</v>
      </c>
    </row>
    <row r="388" spans="23:27">
      <c r="W388" s="5">
        <f t="shared" si="28"/>
        <v>0.38250000000000028</v>
      </c>
      <c r="X388">
        <f t="shared" si="27"/>
        <v>112837.50000000009</v>
      </c>
      <c r="Y388" s="4">
        <f ca="1"/>
        <v>0</v>
      </c>
      <c r="Z388" s="4">
        <v>2.2935701226210533E-16</v>
      </c>
      <c r="AA388" s="13">
        <v>0</v>
      </c>
    </row>
    <row r="389" spans="23:27">
      <c r="W389" s="5">
        <f t="shared" si="28"/>
        <v>0.38350000000000029</v>
      </c>
      <c r="X389">
        <f t="shared" ref="X389:X452" si="29">W389*$C$21</f>
        <v>113132.50000000009</v>
      </c>
      <c r="Y389" s="4">
        <f ca="1"/>
        <v>0</v>
      </c>
      <c r="Z389" s="4">
        <v>2.0032639952498149E-16</v>
      </c>
      <c r="AA389" s="13">
        <v>0</v>
      </c>
    </row>
    <row r="390" spans="23:27">
      <c r="W390" s="5">
        <f t="shared" si="28"/>
        <v>0.38450000000000029</v>
      </c>
      <c r="X390">
        <f t="shared" si="29"/>
        <v>113427.50000000009</v>
      </c>
      <c r="Y390" s="4">
        <f ca="1"/>
        <v>0</v>
      </c>
      <c r="Z390" s="4">
        <v>1.7468318011747692E-16</v>
      </c>
      <c r="AA390" s="13">
        <v>0</v>
      </c>
    </row>
    <row r="391" spans="23:27">
      <c r="W391" s="5">
        <f t="shared" ref="W391:W454" si="30">W390+1/$C$18</f>
        <v>0.38550000000000029</v>
      </c>
      <c r="X391">
        <f t="shared" si="29"/>
        <v>113722.50000000009</v>
      </c>
      <c r="Y391" s="4">
        <f ca="1"/>
        <v>0</v>
      </c>
      <c r="Z391" s="4">
        <v>1.5207215137894866E-16</v>
      </c>
      <c r="AA391" s="13">
        <v>0</v>
      </c>
    </row>
    <row r="392" spans="23:27">
      <c r="W392" s="5">
        <f t="shared" si="30"/>
        <v>0.38650000000000029</v>
      </c>
      <c r="X392">
        <f t="shared" si="29"/>
        <v>114017.50000000009</v>
      </c>
      <c r="Y392" s="4">
        <f ca="1"/>
        <v>0</v>
      </c>
      <c r="Z392" s="4">
        <v>1.3217002391293341E-16</v>
      </c>
      <c r="AA392" s="13">
        <v>0</v>
      </c>
    </row>
    <row r="393" spans="23:27">
      <c r="W393" s="5">
        <f t="shared" si="30"/>
        <v>0.38750000000000029</v>
      </c>
      <c r="X393">
        <f t="shared" si="29"/>
        <v>114312.50000000009</v>
      </c>
      <c r="Y393" s="4">
        <f ca="1"/>
        <v>0</v>
      </c>
      <c r="Z393" s="4">
        <v>1.1468323467391338E-16</v>
      </c>
      <c r="AA393" s="13">
        <v>0</v>
      </c>
    </row>
    <row r="394" spans="23:27">
      <c r="W394" s="5">
        <f t="shared" si="30"/>
        <v>0.38850000000000029</v>
      </c>
      <c r="X394">
        <f t="shared" si="29"/>
        <v>114607.50000000009</v>
      </c>
      <c r="Y394" s="4">
        <f ca="1"/>
        <v>0</v>
      </c>
      <c r="Z394" s="4">
        <v>9.9345824766229146E-17</v>
      </c>
      <c r="AA394" s="13">
        <v>0</v>
      </c>
    </row>
    <row r="395" spans="23:27">
      <c r="W395" s="5">
        <f t="shared" si="30"/>
        <v>0.38950000000000029</v>
      </c>
      <c r="X395">
        <f t="shared" si="29"/>
        <v>114902.50000000009</v>
      </c>
      <c r="Y395" s="4">
        <f ca="1"/>
        <v>0</v>
      </c>
      <c r="Z395" s="4">
        <v>8.5917391708487524E-17</v>
      </c>
      <c r="AA395" s="13">
        <v>0</v>
      </c>
    </row>
    <row r="396" spans="23:27">
      <c r="W396" s="5">
        <f t="shared" si="30"/>
        <v>0.39050000000000029</v>
      </c>
      <c r="X396">
        <f t="shared" si="29"/>
        <v>115197.50000000009</v>
      </c>
      <c r="Y396" s="4">
        <f ca="1"/>
        <v>0</v>
      </c>
      <c r="Z396" s="4">
        <v>7.4181124004640688E-17</v>
      </c>
      <c r="AA396" s="13">
        <v>0</v>
      </c>
    </row>
    <row r="397" spans="23:27">
      <c r="W397" s="5">
        <f t="shared" si="30"/>
        <v>0.39150000000000029</v>
      </c>
      <c r="X397">
        <f t="shared" si="29"/>
        <v>115492.50000000009</v>
      </c>
      <c r="Y397" s="4">
        <f ca="1"/>
        <v>0</v>
      </c>
      <c r="Z397" s="4">
        <v>6.3941924090646183E-17</v>
      </c>
      <c r="AA397" s="13">
        <v>0</v>
      </c>
    </row>
    <row r="398" spans="23:27">
      <c r="W398" s="5">
        <f t="shared" si="30"/>
        <v>0.39250000000000029</v>
      </c>
      <c r="X398">
        <f t="shared" si="29"/>
        <v>115787.50000000009</v>
      </c>
      <c r="Y398" s="4">
        <f ca="1"/>
        <v>0</v>
      </c>
      <c r="Z398" s="4">
        <v>5.5024624100077609E-17</v>
      </c>
      <c r="AA398" s="13">
        <v>0</v>
      </c>
    </row>
    <row r="399" spans="23:27">
      <c r="W399" s="5">
        <f t="shared" si="30"/>
        <v>0.39350000000000029</v>
      </c>
      <c r="X399">
        <f t="shared" si="29"/>
        <v>116082.50000000009</v>
      </c>
      <c r="Y399" s="4">
        <f ca="1"/>
        <v>0</v>
      </c>
      <c r="Z399" s="4">
        <v>4.7272297416966943E-17</v>
      </c>
      <c r="AA399" s="13">
        <v>0</v>
      </c>
    </row>
    <row r="400" spans="23:27">
      <c r="W400" s="5">
        <f t="shared" si="30"/>
        <v>0.39450000000000029</v>
      </c>
      <c r="X400">
        <f t="shared" si="29"/>
        <v>116377.50000000009</v>
      </c>
      <c r="Y400" s="4">
        <f ca="1"/>
        <v>0</v>
      </c>
      <c r="Z400" s="4">
        <v>4.0544667660439609E-17</v>
      </c>
      <c r="AA400" s="13">
        <v>0</v>
      </c>
    </row>
    <row r="401" spans="23:27">
      <c r="W401" s="5">
        <f t="shared" si="30"/>
        <v>0.3955000000000003</v>
      </c>
      <c r="X401">
        <f t="shared" si="29"/>
        <v>116672.50000000009</v>
      </c>
      <c r="Y401" s="4">
        <f ca="1"/>
        <v>0</v>
      </c>
      <c r="Z401" s="4">
        <v>3.47166155717856E-17</v>
      </c>
      <c r="AA401" s="13">
        <v>0</v>
      </c>
    </row>
    <row r="402" spans="23:27">
      <c r="W402" s="5">
        <f t="shared" si="30"/>
        <v>0.3965000000000003</v>
      </c>
      <c r="X402">
        <f t="shared" si="29"/>
        <v>116967.50000000009</v>
      </c>
      <c r="Y402" s="4">
        <f ca="1"/>
        <v>0</v>
      </c>
      <c r="Z402" s="4">
        <v>2.9676783246905094E-17</v>
      </c>
      <c r="AA402" s="13">
        <v>0</v>
      </c>
    </row>
    <row r="403" spans="23:27">
      <c r="W403" s="5">
        <f t="shared" si="30"/>
        <v>0.3975000000000003</v>
      </c>
      <c r="X403">
        <f t="shared" si="29"/>
        <v>117262.50000000009</v>
      </c>
      <c r="Y403" s="4">
        <f ca="1"/>
        <v>0</v>
      </c>
      <c r="Z403" s="4">
        <v>2.5326274270177586E-17</v>
      </c>
      <c r="AA403" s="13">
        <v>0</v>
      </c>
    </row>
    <row r="404" spans="23:27">
      <c r="W404" s="5">
        <f t="shared" si="30"/>
        <v>0.3985000000000003</v>
      </c>
      <c r="X404">
        <f t="shared" si="29"/>
        <v>117557.50000000009</v>
      </c>
      <c r="Y404" s="4">
        <f ca="1"/>
        <v>0</v>
      </c>
      <c r="Z404" s="4">
        <v>2.1577447552952194E-17</v>
      </c>
      <c r="AA404" s="13">
        <v>0</v>
      </c>
    </row>
    <row r="405" spans="23:27">
      <c r="W405" s="5">
        <f t="shared" si="30"/>
        <v>0.3995000000000003</v>
      </c>
      <c r="X405">
        <f t="shared" si="29"/>
        <v>117852.50000000009</v>
      </c>
      <c r="Y405" s="4">
        <f ca="1"/>
        <v>0</v>
      </c>
      <c r="Z405" s="4">
        <v>1.8352802053143158E-17</v>
      </c>
      <c r="AA405" s="13">
        <v>0</v>
      </c>
    </row>
    <row r="406" spans="23:27">
      <c r="W406" s="5">
        <f t="shared" si="30"/>
        <v>0.4005000000000003</v>
      </c>
      <c r="X406">
        <f t="shared" si="29"/>
        <v>118147.50000000009</v>
      </c>
      <c r="Y406" s="4">
        <f ca="1"/>
        <v>0</v>
      </c>
      <c r="Z406" s="4">
        <v>1.5583949043105521E-17</v>
      </c>
      <c r="AA406" s="13">
        <v>0</v>
      </c>
    </row>
    <row r="407" spans="23:27">
      <c r="W407" s="5">
        <f t="shared" si="30"/>
        <v>0.4015000000000003</v>
      </c>
      <c r="X407">
        <f t="shared" si="29"/>
        <v>118442.50000000009</v>
      </c>
      <c r="Y407" s="4">
        <f ca="1"/>
        <v>0</v>
      </c>
      <c r="Z407" s="4">
        <v>1.3210668191766879E-17</v>
      </c>
      <c r="AA407" s="13">
        <v>0</v>
      </c>
    </row>
    <row r="408" spans="23:27">
      <c r="W408" s="5">
        <f t="shared" si="30"/>
        <v>0.4025000000000003</v>
      </c>
      <c r="X408">
        <f t="shared" si="29"/>
        <v>118737.50000000009</v>
      </c>
      <c r="Y408" s="4">
        <f ca="1"/>
        <v>0</v>
      </c>
      <c r="Z408" s="4">
        <v>1.1180043424281194E-17</v>
      </c>
      <c r="AA408" s="13">
        <v>0</v>
      </c>
    </row>
    <row r="409" spans="23:27">
      <c r="W409" s="5">
        <f t="shared" si="30"/>
        <v>0.4035000000000003</v>
      </c>
      <c r="X409">
        <f t="shared" si="29"/>
        <v>119032.50000000009</v>
      </c>
      <c r="Y409" s="4">
        <f ca="1"/>
        <v>0</v>
      </c>
      <c r="Z409" s="4">
        <v>9.4456743084845309E-18</v>
      </c>
      <c r="AA409" s="13">
        <v>0</v>
      </c>
    </row>
    <row r="410" spans="23:27">
      <c r="W410" s="5">
        <f t="shared" si="30"/>
        <v>0.4045000000000003</v>
      </c>
      <c r="X410">
        <f t="shared" si="29"/>
        <v>119327.50000000009</v>
      </c>
      <c r="Y410" s="4">
        <f ca="1"/>
        <v>0</v>
      </c>
      <c r="Z410" s="4">
        <v>7.9669585824818559E-18</v>
      </c>
      <c r="AA410" s="13">
        <v>0</v>
      </c>
    </row>
    <row r="411" spans="23:27">
      <c r="W411" s="5">
        <f t="shared" si="30"/>
        <v>0.4055000000000003</v>
      </c>
      <c r="X411">
        <f t="shared" si="29"/>
        <v>119622.50000000009</v>
      </c>
      <c r="Y411" s="4">
        <f ca="1"/>
        <v>0</v>
      </c>
      <c r="Z411" s="4">
        <v>6.7084413722772159E-18</v>
      </c>
      <c r="AA411" s="13">
        <v>0</v>
      </c>
    </row>
    <row r="412" spans="23:27">
      <c r="W412" s="5">
        <f t="shared" si="30"/>
        <v>0.40650000000000031</v>
      </c>
      <c r="X412">
        <f t="shared" si="29"/>
        <v>119917.50000000009</v>
      </c>
      <c r="Y412" s="4">
        <f ca="1"/>
        <v>0</v>
      </c>
      <c r="Z412" s="4">
        <v>5.6392266433202756E-18</v>
      </c>
      <c r="AA412" s="13">
        <v>0</v>
      </c>
    </row>
    <row r="413" spans="23:27">
      <c r="W413" s="5">
        <f t="shared" si="30"/>
        <v>0.40750000000000031</v>
      </c>
      <c r="X413">
        <f t="shared" si="29"/>
        <v>120212.50000000009</v>
      </c>
      <c r="Y413" s="4">
        <f ca="1"/>
        <v>0</v>
      </c>
      <c r="Z413" s="4">
        <v>4.7324464764596233E-18</v>
      </c>
      <c r="AA413" s="13">
        <v>0</v>
      </c>
    </row>
    <row r="414" spans="23:27">
      <c r="W414" s="5">
        <f t="shared" si="30"/>
        <v>0.40850000000000031</v>
      </c>
      <c r="X414">
        <f t="shared" si="29"/>
        <v>120507.50000000009</v>
      </c>
      <c r="Y414" s="4">
        <f ca="1"/>
        <v>0</v>
      </c>
      <c r="Z414" s="4">
        <v>3.9647838488556542E-18</v>
      </c>
      <c r="AA414" s="13">
        <v>0</v>
      </c>
    </row>
    <row r="415" spans="23:27">
      <c r="W415" s="5">
        <f t="shared" si="30"/>
        <v>0.40950000000000031</v>
      </c>
      <c r="X415">
        <f t="shared" si="29"/>
        <v>120802.50000000009</v>
      </c>
      <c r="Y415" s="4">
        <f ca="1"/>
        <v>0</v>
      </c>
      <c r="Z415" s="4">
        <v>3.3160447262866413E-18</v>
      </c>
      <c r="AA415" s="13">
        <v>0</v>
      </c>
    </row>
    <row r="416" spans="23:27">
      <c r="W416" s="5">
        <f t="shared" si="30"/>
        <v>0.41050000000000031</v>
      </c>
      <c r="X416">
        <f t="shared" si="29"/>
        <v>121097.50000000009</v>
      </c>
      <c r="Y416" s="4">
        <f ca="1"/>
        <v>0</v>
      </c>
      <c r="Z416" s="4">
        <v>2.7687754279595214E-18</v>
      </c>
      <c r="AA416" s="13">
        <v>0</v>
      </c>
    </row>
    <row r="417" spans="23:27">
      <c r="W417" s="5">
        <f t="shared" si="30"/>
        <v>0.41150000000000031</v>
      </c>
      <c r="X417">
        <f t="shared" si="29"/>
        <v>121392.50000000009</v>
      </c>
      <c r="Y417" s="4">
        <f ca="1"/>
        <v>0</v>
      </c>
      <c r="Z417" s="4">
        <v>2.307921402031065E-18</v>
      </c>
      <c r="AA417" s="13">
        <v>0</v>
      </c>
    </row>
    <row r="418" spans="23:27">
      <c r="W418" s="5">
        <f t="shared" si="30"/>
        <v>0.41250000000000031</v>
      </c>
      <c r="X418">
        <f t="shared" si="29"/>
        <v>121687.50000000009</v>
      </c>
      <c r="Y418" s="4">
        <f ca="1"/>
        <v>0</v>
      </c>
      <c r="Z418" s="4">
        <v>1.9205237438196606E-18</v>
      </c>
      <c r="AA418" s="13">
        <v>0</v>
      </c>
    </row>
    <row r="419" spans="23:27">
      <c r="W419" s="5">
        <f t="shared" si="30"/>
        <v>0.41350000000000031</v>
      </c>
      <c r="X419">
        <f t="shared" si="29"/>
        <v>121982.50000000009</v>
      </c>
      <c r="Y419" s="4">
        <f ca="1"/>
        <v>0</v>
      </c>
      <c r="Z419" s="4">
        <v>1.5954499940422883E-18</v>
      </c>
      <c r="AA419" s="13">
        <v>0</v>
      </c>
    </row>
    <row r="420" spans="23:27">
      <c r="W420" s="5">
        <f t="shared" si="30"/>
        <v>0.41450000000000031</v>
      </c>
      <c r="X420">
        <f t="shared" si="29"/>
        <v>122277.50000000009</v>
      </c>
      <c r="Y420" s="4">
        <f ca="1"/>
        <v>0</v>
      </c>
      <c r="Z420" s="4">
        <v>1.3231559668711942E-18</v>
      </c>
      <c r="AA420" s="13">
        <v>0</v>
      </c>
    </row>
    <row r="421" spans="23:27">
      <c r="W421" s="5">
        <f t="shared" si="30"/>
        <v>0.41550000000000031</v>
      </c>
      <c r="X421">
        <f t="shared" si="29"/>
        <v>122572.50000000009</v>
      </c>
      <c r="Y421" s="4">
        <f ca="1"/>
        <v>0</v>
      </c>
      <c r="Z421" s="4">
        <v>1.0954755732926387E-18</v>
      </c>
      <c r="AA421" s="13">
        <v>0</v>
      </c>
    </row>
    <row r="422" spans="23:27">
      <c r="W422" s="5">
        <f t="shared" si="30"/>
        <v>0.41650000000000031</v>
      </c>
      <c r="X422">
        <f t="shared" si="29"/>
        <v>122867.50000000009</v>
      </c>
      <c r="Y422" s="4">
        <f ca="1"/>
        <v>0</v>
      </c>
      <c r="Z422" s="4">
        <v>9.0543582085582113E-19</v>
      </c>
      <c r="AA422" s="13">
        <v>0</v>
      </c>
    </row>
    <row r="423" spans="23:27">
      <c r="W423" s="5">
        <f t="shared" si="30"/>
        <v>0.41750000000000032</v>
      </c>
      <c r="X423">
        <f t="shared" si="29"/>
        <v>123162.50000000009</v>
      </c>
      <c r="Y423" s="4">
        <f ca="1"/>
        <v>0</v>
      </c>
      <c r="Z423" s="4">
        <v>7.4709438364351707E-19</v>
      </c>
      <c r="AA423" s="13">
        <v>0</v>
      </c>
    </row>
    <row r="424" spans="23:27">
      <c r="W424" s="5">
        <f t="shared" si="30"/>
        <v>0.41850000000000032</v>
      </c>
      <c r="X424">
        <f t="shared" si="29"/>
        <v>123457.50000000009</v>
      </c>
      <c r="Y424" s="4">
        <f ca="1"/>
        <v>0</v>
      </c>
      <c r="Z424" s="4">
        <v>6.1539734388862903E-19</v>
      </c>
      <c r="AA424" s="13">
        <v>0</v>
      </c>
    </row>
    <row r="425" spans="23:27">
      <c r="W425" s="5">
        <f t="shared" si="30"/>
        <v>0.41950000000000032</v>
      </c>
      <c r="X425">
        <f t="shared" si="29"/>
        <v>123752.50000000009</v>
      </c>
      <c r="Y425" s="4">
        <f ca="1"/>
        <v>0</v>
      </c>
      <c r="Z425" s="4">
        <v>5.0605490725984977E-19</v>
      </c>
      <c r="AA425" s="13">
        <v>0</v>
      </c>
    </row>
    <row r="426" spans="23:27">
      <c r="W426" s="5">
        <f t="shared" si="30"/>
        <v>0.42050000000000032</v>
      </c>
      <c r="X426">
        <f t="shared" si="29"/>
        <v>124047.50000000009</v>
      </c>
      <c r="Y426" s="4">
        <f ca="1"/>
        <v>0</v>
      </c>
      <c r="Z426" s="4">
        <v>4.154330860086033E-19</v>
      </c>
      <c r="AA426" s="13">
        <v>0</v>
      </c>
    </row>
    <row r="427" spans="23:27">
      <c r="W427" s="5">
        <f t="shared" si="30"/>
        <v>0.42150000000000032</v>
      </c>
      <c r="X427">
        <f t="shared" si="29"/>
        <v>124342.50000000009</v>
      </c>
      <c r="Y427" s="4">
        <f ca="1"/>
        <v>0</v>
      </c>
      <c r="Z427" s="4">
        <v>3.4045952683153976E-19</v>
      </c>
      <c r="AA427" s="13">
        <v>0</v>
      </c>
    </row>
    <row r="428" spans="23:27">
      <c r="W428" s="5">
        <f t="shared" si="30"/>
        <v>0.42250000000000032</v>
      </c>
      <c r="X428">
        <f t="shared" si="29"/>
        <v>124637.50000000009</v>
      </c>
      <c r="Y428" s="4">
        <f ca="1"/>
        <v>0</v>
      </c>
      <c r="Z428" s="4">
        <v>2.7854183269964216E-19</v>
      </c>
      <c r="AA428" s="13">
        <v>0</v>
      </c>
    </row>
    <row r="429" spans="23:27">
      <c r="W429" s="5">
        <f t="shared" si="30"/>
        <v>0.42350000000000032</v>
      </c>
      <c r="X429">
        <f t="shared" si="29"/>
        <v>124932.50000000009</v>
      </c>
      <c r="Y429" s="4">
        <f ca="1"/>
        <v>0</v>
      </c>
      <c r="Z429" s="4">
        <v>2.2749688955510311E-19</v>
      </c>
      <c r="AA429" s="13">
        <v>0</v>
      </c>
    </row>
    <row r="430" spans="23:27">
      <c r="W430" s="5">
        <f t="shared" si="30"/>
        <v>0.42450000000000032</v>
      </c>
      <c r="X430">
        <f t="shared" si="29"/>
        <v>125227.5000000001</v>
      </c>
      <c r="Y430" s="4">
        <f ca="1"/>
        <v>0</v>
      </c>
      <c r="Z430" s="4">
        <v>1.8548985943656811E-19</v>
      </c>
      <c r="AA430" s="13">
        <v>0</v>
      </c>
    </row>
    <row r="431" spans="23:27">
      <c r="W431" s="5">
        <f t="shared" si="30"/>
        <v>0.42550000000000032</v>
      </c>
      <c r="X431">
        <f t="shared" si="29"/>
        <v>125522.5000000001</v>
      </c>
      <c r="Y431" s="4">
        <f ca="1"/>
        <v>0</v>
      </c>
      <c r="Z431" s="4">
        <v>1.5098164121941631E-19</v>
      </c>
      <c r="AA431" s="13">
        <v>0</v>
      </c>
    </row>
    <row r="432" spans="23:27">
      <c r="W432" s="5">
        <f t="shared" si="30"/>
        <v>0.42650000000000032</v>
      </c>
      <c r="X432">
        <f t="shared" si="29"/>
        <v>125817.5000000001</v>
      </c>
      <c r="Y432" s="4">
        <f ca="1"/>
        <v>0</v>
      </c>
      <c r="Z432" s="4">
        <v>1.2268372887451127E-19</v>
      </c>
      <c r="AA432" s="13">
        <v>0</v>
      </c>
    </row>
    <row r="433" spans="23:27">
      <c r="W433" s="5">
        <f t="shared" si="30"/>
        <v>0.42750000000000032</v>
      </c>
      <c r="X433">
        <f t="shared" si="29"/>
        <v>126112.5000000001</v>
      </c>
      <c r="Y433" s="4">
        <f ca="1"/>
        <v>0</v>
      </c>
      <c r="Z433" s="4">
        <v>9.951951521653113E-20</v>
      </c>
      <c r="AA433" s="13">
        <v>0</v>
      </c>
    </row>
    <row r="434" spans="23:27">
      <c r="W434" s="5">
        <f t="shared" si="30"/>
        <v>0.42850000000000033</v>
      </c>
      <c r="X434">
        <f t="shared" si="29"/>
        <v>126407.5000000001</v>
      </c>
      <c r="Y434" s="4">
        <f ca="1"/>
        <v>0</v>
      </c>
      <c r="Z434" s="4">
        <v>8.0591196899694056E-20</v>
      </c>
      <c r="AA434" s="13">
        <v>0</v>
      </c>
    </row>
    <row r="435" spans="23:27">
      <c r="W435" s="5">
        <f t="shared" si="30"/>
        <v>0.42950000000000033</v>
      </c>
      <c r="X435">
        <f t="shared" si="29"/>
        <v>126702.5000000001</v>
      </c>
      <c r="Y435" s="4">
        <f ca="1"/>
        <v>0</v>
      </c>
      <c r="Z435" s="4">
        <v>6.5151534375516518E-20</v>
      </c>
      <c r="AA435" s="13">
        <v>0</v>
      </c>
    </row>
    <row r="436" spans="23:27">
      <c r="W436" s="5">
        <f t="shared" si="30"/>
        <v>0.43050000000000033</v>
      </c>
      <c r="X436">
        <f t="shared" si="29"/>
        <v>126997.5000000001</v>
      </c>
      <c r="Y436" s="4">
        <f ca="1"/>
        <v>0</v>
      </c>
      <c r="Z436" s="4">
        <v>5.2579809166206977E-20</v>
      </c>
      <c r="AA436" s="13">
        <v>0</v>
      </c>
    </row>
    <row r="437" spans="23:27">
      <c r="W437" s="5">
        <f t="shared" si="30"/>
        <v>0.43150000000000033</v>
      </c>
      <c r="X437">
        <f t="shared" si="29"/>
        <v>127292.5000000001</v>
      </c>
      <c r="Y437" s="4">
        <f ca="1"/>
        <v>0</v>
      </c>
      <c r="Z437" s="4">
        <v>4.2361400682315669E-20</v>
      </c>
      <c r="AA437" s="13">
        <v>0</v>
      </c>
    </row>
    <row r="438" spans="23:27">
      <c r="W438" s="5">
        <f t="shared" si="30"/>
        <v>0.43250000000000033</v>
      </c>
      <c r="X438">
        <f t="shared" si="29"/>
        <v>127587.5000000001</v>
      </c>
      <c r="Y438" s="4">
        <f ca="1"/>
        <v>0</v>
      </c>
      <c r="Z438" s="4">
        <v>3.4070476503491757E-20</v>
      </c>
      <c r="AA438" s="13">
        <v>0</v>
      </c>
    </row>
    <row r="439" spans="23:27">
      <c r="W439" s="5">
        <f t="shared" si="30"/>
        <v>0.43350000000000033</v>
      </c>
      <c r="X439">
        <f t="shared" si="29"/>
        <v>127882.5000000001</v>
      </c>
      <c r="Y439" s="4">
        <f ca="1"/>
        <v>0</v>
      </c>
      <c r="Z439" s="4">
        <v>2.7355354137398953E-20</v>
      </c>
      <c r="AA439" s="13">
        <v>0</v>
      </c>
    </row>
    <row r="440" spans="23:27">
      <c r="W440" s="5">
        <f t="shared" si="30"/>
        <v>0.43450000000000033</v>
      </c>
      <c r="X440">
        <f t="shared" si="29"/>
        <v>128177.5000000001</v>
      </c>
      <c r="Y440" s="4">
        <f ca="1"/>
        <v>0</v>
      </c>
      <c r="Z440" s="4">
        <v>2.1926149364623201E-20</v>
      </c>
      <c r="AA440" s="13">
        <v>0</v>
      </c>
    </row>
    <row r="441" spans="23:27">
      <c r="W441" s="5">
        <f t="shared" si="30"/>
        <v>0.43550000000000033</v>
      </c>
      <c r="X441">
        <f t="shared" si="29"/>
        <v>128472.5000000001</v>
      </c>
      <c r="Y441" s="4">
        <f ca="1"/>
        <v>0</v>
      </c>
      <c r="Z441" s="4">
        <v>1.7544376947976775E-20</v>
      </c>
      <c r="AA441" s="13">
        <v>0</v>
      </c>
    </row>
    <row r="442" spans="23:27">
      <c r="W442" s="5">
        <f t="shared" si="30"/>
        <v>0.43650000000000033</v>
      </c>
      <c r="X442">
        <f t="shared" si="29"/>
        <v>128767.5000000001</v>
      </c>
      <c r="Y442" s="4">
        <f ca="1"/>
        <v>0</v>
      </c>
      <c r="Z442" s="4">
        <v>1.4014214297146386E-20</v>
      </c>
      <c r="AA442" s="13">
        <v>0</v>
      </c>
    </row>
    <row r="443" spans="23:27">
      <c r="W443" s="5">
        <f t="shared" si="30"/>
        <v>0.43750000000000033</v>
      </c>
      <c r="X443">
        <f t="shared" si="29"/>
        <v>129062.5000000001</v>
      </c>
      <c r="Y443" s="4">
        <f ca="1"/>
        <v>0</v>
      </c>
      <c r="Z443" s="4">
        <v>1.1175178175616733E-20</v>
      </c>
      <c r="AA443" s="13">
        <v>0</v>
      </c>
    </row>
    <row r="444" spans="23:27">
      <c r="W444" s="5">
        <f t="shared" si="30"/>
        <v>0.43850000000000033</v>
      </c>
      <c r="X444">
        <f t="shared" si="29"/>
        <v>129357.5000000001</v>
      </c>
      <c r="Y444" s="4">
        <f ca="1"/>
        <v>0</v>
      </c>
      <c r="Z444" s="4">
        <v>8.8959992306336318E-21</v>
      </c>
      <c r="AA444" s="13">
        <v>0</v>
      </c>
    </row>
    <row r="445" spans="23:27">
      <c r="W445" s="5">
        <f t="shared" si="30"/>
        <v>0.43950000000000033</v>
      </c>
      <c r="X445">
        <f t="shared" si="29"/>
        <v>129652.5000000001</v>
      </c>
      <c r="Y445" s="4">
        <f ca="1"/>
        <v>0</v>
      </c>
      <c r="Z445" s="4">
        <v>7.0695095029957775E-21</v>
      </c>
      <c r="AA445" s="13">
        <v>0</v>
      </c>
    </row>
    <row r="446" spans="23:27">
      <c r="W446" s="5">
        <f t="shared" si="30"/>
        <v>0.44050000000000034</v>
      </c>
      <c r="X446">
        <f t="shared" si="29"/>
        <v>129947.5000000001</v>
      </c>
      <c r="Y446" s="4">
        <f ca="1"/>
        <v>0</v>
      </c>
      <c r="Z446" s="4">
        <v>5.6083845840749968E-21</v>
      </c>
      <c r="AA446" s="13">
        <v>0</v>
      </c>
    </row>
    <row r="447" spans="23:27">
      <c r="W447" s="5">
        <f t="shared" si="30"/>
        <v>0.44150000000000034</v>
      </c>
      <c r="X447">
        <f t="shared" si="29"/>
        <v>130242.5000000001</v>
      </c>
      <c r="Y447" s="4">
        <f ca="1"/>
        <v>0</v>
      </c>
      <c r="Z447" s="4">
        <v>4.4416051521235901E-21</v>
      </c>
      <c r="AA447" s="13">
        <v>0</v>
      </c>
    </row>
    <row r="448" spans="23:27">
      <c r="W448" s="5">
        <f t="shared" si="30"/>
        <v>0.44250000000000034</v>
      </c>
      <c r="X448">
        <f t="shared" si="29"/>
        <v>130537.5000000001</v>
      </c>
      <c r="Y448" s="4">
        <f ca="1"/>
        <v>0</v>
      </c>
      <c r="Z448" s="4">
        <v>3.5115226249336008E-21</v>
      </c>
      <c r="AA448" s="13">
        <v>0</v>
      </c>
    </row>
    <row r="449" spans="23:27">
      <c r="W449" s="5">
        <f t="shared" si="30"/>
        <v>0.44350000000000034</v>
      </c>
      <c r="X449">
        <f t="shared" si="29"/>
        <v>130832.5000000001</v>
      </c>
      <c r="Y449" s="4">
        <f ca="1"/>
        <v>0</v>
      </c>
      <c r="Z449" s="4">
        <v>2.7714309648446378E-21</v>
      </c>
      <c r="AA449" s="13">
        <v>0</v>
      </c>
    </row>
    <row r="450" spans="23:27">
      <c r="W450" s="5">
        <f t="shared" si="30"/>
        <v>0.44450000000000034</v>
      </c>
      <c r="X450">
        <f t="shared" si="29"/>
        <v>131127.50000000009</v>
      </c>
      <c r="Y450" s="4">
        <f ca="1"/>
        <v>0</v>
      </c>
      <c r="Z450" s="4">
        <v>2.183561586671988E-21</v>
      </c>
      <c r="AA450" s="13">
        <v>0</v>
      </c>
    </row>
    <row r="451" spans="23:27">
      <c r="W451" s="5">
        <f t="shared" si="30"/>
        <v>0.44550000000000034</v>
      </c>
      <c r="X451">
        <f t="shared" si="29"/>
        <v>131422.50000000009</v>
      </c>
      <c r="Y451" s="4">
        <f ca="1"/>
        <v>0</v>
      </c>
      <c r="Z451" s="4">
        <v>1.7174311405067872E-21</v>
      </c>
      <c r="AA451" s="13">
        <v>0</v>
      </c>
    </row>
    <row r="452" spans="23:27">
      <c r="W452" s="5">
        <f t="shared" si="30"/>
        <v>0.44650000000000034</v>
      </c>
      <c r="X452">
        <f t="shared" si="29"/>
        <v>131717.50000000009</v>
      </c>
      <c r="Y452" s="4">
        <f ca="1"/>
        <v>0</v>
      </c>
      <c r="Z452" s="4">
        <v>1.3484829316539023E-21</v>
      </c>
      <c r="AA452" s="13">
        <v>0</v>
      </c>
    </row>
    <row r="453" spans="23:27">
      <c r="W453" s="5">
        <f t="shared" si="30"/>
        <v>0.44750000000000034</v>
      </c>
      <c r="X453">
        <f t="shared" ref="X453:X516" si="31">W453*$C$21</f>
        <v>132012.50000000009</v>
      </c>
      <c r="Y453" s="4">
        <f ca="1"/>
        <v>0</v>
      </c>
      <c r="Z453" s="4">
        <v>1.0569721340750298E-21</v>
      </c>
      <c r="AA453" s="13">
        <v>0</v>
      </c>
    </row>
    <row r="454" spans="23:27">
      <c r="W454" s="5">
        <f t="shared" si="30"/>
        <v>0.44850000000000034</v>
      </c>
      <c r="X454">
        <f t="shared" si="31"/>
        <v>132307.50000000009</v>
      </c>
      <c r="Y454" s="4">
        <f ca="1"/>
        <v>0</v>
      </c>
      <c r="Z454" s="4">
        <v>8.2705296102691303E-22</v>
      </c>
      <c r="AA454" s="13">
        <v>0</v>
      </c>
    </row>
    <row r="455" spans="23:27">
      <c r="W455" s="5">
        <f t="shared" ref="W455:W505" si="32">W454+1/$C$18</f>
        <v>0.44950000000000034</v>
      </c>
      <c r="X455">
        <f t="shared" si="31"/>
        <v>132602.50000000009</v>
      </c>
      <c r="Y455" s="4">
        <f ca="1"/>
        <v>0</v>
      </c>
      <c r="Z455" s="4">
        <v>6.4603276305674211E-22</v>
      </c>
      <c r="AA455" s="13">
        <v>0</v>
      </c>
    </row>
    <row r="456" spans="23:27">
      <c r="W456" s="5">
        <f t="shared" si="32"/>
        <v>0.45050000000000034</v>
      </c>
      <c r="X456">
        <f t="shared" si="31"/>
        <v>132897.50000000009</v>
      </c>
      <c r="Y456" s="4">
        <f ca="1"/>
        <v>0</v>
      </c>
      <c r="Z456" s="4">
        <v>5.0376379350248736E-22</v>
      </c>
      <c r="AA456" s="13">
        <v>0</v>
      </c>
    </row>
    <row r="457" spans="23:27">
      <c r="W457" s="5">
        <f t="shared" si="32"/>
        <v>0.45150000000000035</v>
      </c>
      <c r="X457">
        <f t="shared" si="31"/>
        <v>133192.50000000012</v>
      </c>
      <c r="Y457" s="4">
        <f ca="1"/>
        <v>0</v>
      </c>
      <c r="Z457" s="4">
        <v>3.9214825984283807E-22</v>
      </c>
      <c r="AA457" s="13">
        <v>0</v>
      </c>
    </row>
    <row r="458" spans="23:27">
      <c r="W458" s="5">
        <f t="shared" si="32"/>
        <v>0.45250000000000035</v>
      </c>
      <c r="X458">
        <f t="shared" si="31"/>
        <v>133487.50000000012</v>
      </c>
      <c r="Y458" s="4">
        <f ca="1"/>
        <v>0</v>
      </c>
      <c r="Z458" s="4">
        <v>3.0473639252957664E-22</v>
      </c>
      <c r="AA458" s="13">
        <v>0</v>
      </c>
    </row>
    <row r="459" spans="23:27">
      <c r="W459" s="5">
        <f t="shared" si="32"/>
        <v>0.45350000000000035</v>
      </c>
      <c r="X459">
        <f t="shared" si="31"/>
        <v>133782.50000000012</v>
      </c>
      <c r="Y459" s="4">
        <f ca="1"/>
        <v>0</v>
      </c>
      <c r="Z459" s="4">
        <v>2.3640072214468431E-22</v>
      </c>
      <c r="AA459" s="13">
        <v>0</v>
      </c>
    </row>
    <row r="460" spans="23:27">
      <c r="W460" s="5">
        <f t="shared" si="32"/>
        <v>0.45450000000000035</v>
      </c>
      <c r="X460">
        <f t="shared" si="31"/>
        <v>134077.50000000012</v>
      </c>
      <c r="Y460" s="4">
        <f ca="1"/>
        <v>0</v>
      </c>
      <c r="Z460" s="4">
        <v>1.8307265730189212E-22</v>
      </c>
      <c r="AA460" s="13">
        <v>0</v>
      </c>
    </row>
    <row r="461" spans="23:27">
      <c r="W461" s="5">
        <f t="shared" si="32"/>
        <v>0.45550000000000035</v>
      </c>
      <c r="X461">
        <f t="shared" si="31"/>
        <v>134372.50000000012</v>
      </c>
      <c r="Y461" s="4">
        <f ca="1"/>
        <v>0</v>
      </c>
      <c r="Z461" s="4">
        <v>1.4152988328655862E-22</v>
      </c>
      <c r="AA461" s="13">
        <v>0</v>
      </c>
    </row>
    <row r="462" spans="23:27">
      <c r="W462" s="5">
        <f t="shared" si="32"/>
        <v>0.45650000000000035</v>
      </c>
      <c r="X462">
        <f t="shared" si="31"/>
        <v>134667.50000000012</v>
      </c>
      <c r="Y462" s="4">
        <f ca="1"/>
        <v>0</v>
      </c>
      <c r="Z462" s="4">
        <v>1.0922512725493497E-22</v>
      </c>
      <c r="AA462" s="13">
        <v>0</v>
      </c>
    </row>
    <row r="463" spans="23:27">
      <c r="W463" s="5">
        <f t="shared" si="32"/>
        <v>0.45750000000000035</v>
      </c>
      <c r="X463">
        <f t="shared" si="31"/>
        <v>134962.50000000012</v>
      </c>
      <c r="Y463" s="4">
        <f ca="1"/>
        <v>0</v>
      </c>
      <c r="Z463" s="4">
        <v>8.4148522110363936E-23</v>
      </c>
      <c r="AA463" s="13">
        <v>0</v>
      </c>
    </row>
    <row r="464" spans="23:27">
      <c r="W464" s="5">
        <f t="shared" si="32"/>
        <v>0.45850000000000035</v>
      </c>
      <c r="X464">
        <f t="shared" si="31"/>
        <v>135257.50000000012</v>
      </c>
      <c r="Y464" s="4">
        <f ca="1"/>
        <v>0</v>
      </c>
      <c r="Z464" s="4">
        <v>6.4717201331297961E-23</v>
      </c>
      <c r="AA464" s="13">
        <v>0</v>
      </c>
    </row>
    <row r="465" spans="23:27">
      <c r="W465" s="5">
        <f t="shared" si="32"/>
        <v>0.45950000000000035</v>
      </c>
      <c r="X465">
        <f t="shared" si="31"/>
        <v>135552.50000000012</v>
      </c>
      <c r="Y465" s="4">
        <f ca="1"/>
        <v>0</v>
      </c>
      <c r="Z465" s="4">
        <v>4.9686916711211275E-23</v>
      </c>
      <c r="AA465" s="13">
        <v>0</v>
      </c>
    </row>
    <row r="466" spans="23:27">
      <c r="W466" s="5">
        <f t="shared" si="32"/>
        <v>0.46050000000000035</v>
      </c>
      <c r="X466">
        <f t="shared" si="31"/>
        <v>135847.50000000012</v>
      </c>
      <c r="Y466" s="4">
        <f ca="1"/>
        <v>0</v>
      </c>
      <c r="Z466" s="4">
        <v>3.8081429118207181E-23</v>
      </c>
      <c r="AA466" s="13">
        <v>0</v>
      </c>
    </row>
    <row r="467" spans="23:27">
      <c r="W467" s="5">
        <f t="shared" si="32"/>
        <v>0.46150000000000035</v>
      </c>
      <c r="X467">
        <f t="shared" si="31"/>
        <v>136142.50000000012</v>
      </c>
      <c r="Y467" s="4">
        <f ca="1"/>
        <v>0</v>
      </c>
      <c r="Z467" s="4">
        <v>2.9136212082417393E-23</v>
      </c>
      <c r="AA467" s="13">
        <v>0</v>
      </c>
    </row>
    <row r="468" spans="23:27">
      <c r="W468" s="5">
        <f t="shared" si="32"/>
        <v>0.46250000000000036</v>
      </c>
      <c r="X468">
        <f t="shared" si="31"/>
        <v>136437.50000000012</v>
      </c>
      <c r="Y468" s="4">
        <f ca="1"/>
        <v>0</v>
      </c>
      <c r="Z468" s="4">
        <v>2.2253657307217657E-23</v>
      </c>
      <c r="AA468" s="13">
        <v>0</v>
      </c>
    </row>
    <row r="469" spans="23:27">
      <c r="W469" s="5">
        <f t="shared" si="32"/>
        <v>0.46350000000000036</v>
      </c>
      <c r="X469">
        <f t="shared" si="31"/>
        <v>136732.50000000012</v>
      </c>
      <c r="Y469" s="4">
        <f ca="1"/>
        <v>0</v>
      </c>
      <c r="Z469" s="4">
        <v>1.6967503756226428E-23</v>
      </c>
      <c r="AA469" s="13">
        <v>0</v>
      </c>
    </row>
    <row r="470" spans="23:27">
      <c r="W470" s="5">
        <f t="shared" si="32"/>
        <v>0.46450000000000036</v>
      </c>
      <c r="X470">
        <f t="shared" si="31"/>
        <v>137027.50000000012</v>
      </c>
      <c r="Y470" s="4">
        <f ca="1"/>
        <v>0</v>
      </c>
      <c r="Z470" s="4">
        <v>1.2914647733918487E-23</v>
      </c>
      <c r="AA470" s="13">
        <v>0</v>
      </c>
    </row>
    <row r="471" spans="23:27">
      <c r="W471" s="5">
        <f t="shared" si="32"/>
        <v>0.46550000000000036</v>
      </c>
      <c r="X471">
        <f t="shared" si="31"/>
        <v>137322.50000000012</v>
      </c>
      <c r="Y471" s="4">
        <f ca="1"/>
        <v>0</v>
      </c>
      <c r="Z471" s="4">
        <v>9.8128470974962663E-24</v>
      </c>
      <c r="AA471" s="13">
        <v>0</v>
      </c>
    </row>
    <row r="472" spans="23:27">
      <c r="W472" s="5">
        <f t="shared" si="32"/>
        <v>0.46650000000000036</v>
      </c>
      <c r="X472">
        <f t="shared" si="31"/>
        <v>137617.50000000012</v>
      </c>
      <c r="Y472" s="4">
        <f ca="1"/>
        <v>0</v>
      </c>
      <c r="Z472" s="4">
        <v>7.4431224296742878E-24</v>
      </c>
      <c r="AA472" s="13">
        <v>0</v>
      </c>
    </row>
    <row r="473" spans="23:27">
      <c r="W473" s="5">
        <f t="shared" si="32"/>
        <v>0.46750000000000036</v>
      </c>
      <c r="X473">
        <f t="shared" si="31"/>
        <v>137912.50000000012</v>
      </c>
      <c r="Y473" s="4">
        <f ca="1"/>
        <v>0</v>
      </c>
      <c r="Z473" s="4">
        <v>5.6358933686128567E-24</v>
      </c>
      <c r="AA473" s="13">
        <v>0</v>
      </c>
    </row>
    <row r="474" spans="23:27">
      <c r="W474" s="5">
        <f t="shared" si="32"/>
        <v>0.46850000000000036</v>
      </c>
      <c r="X474">
        <f t="shared" si="31"/>
        <v>138207.50000000012</v>
      </c>
      <c r="Y474" s="4">
        <f ca="1"/>
        <v>0</v>
      </c>
      <c r="Z474" s="4">
        <v>4.2600790739655705E-24</v>
      </c>
      <c r="AA474" s="13">
        <v>0</v>
      </c>
    </row>
    <row r="475" spans="23:27">
      <c r="W475" s="5">
        <f t="shared" si="32"/>
        <v>0.46950000000000036</v>
      </c>
      <c r="X475">
        <f t="shared" si="31"/>
        <v>138502.50000000012</v>
      </c>
      <c r="Y475" s="4">
        <f ca="1"/>
        <v>0</v>
      </c>
      <c r="Z475" s="4">
        <v>3.2145460934875424E-24</v>
      </c>
      <c r="AA475" s="13">
        <v>0</v>
      </c>
    </row>
    <row r="476" spans="23:27">
      <c r="W476" s="5">
        <f t="shared" si="32"/>
        <v>0.47050000000000036</v>
      </c>
      <c r="X476">
        <f t="shared" si="31"/>
        <v>138797.50000000012</v>
      </c>
      <c r="Y476" s="4">
        <f ca="1"/>
        <v>0</v>
      </c>
      <c r="Z476" s="4">
        <v>2.4214113771834844E-24</v>
      </c>
      <c r="AA476" s="13">
        <v>0</v>
      </c>
    </row>
    <row r="477" spans="23:27">
      <c r="W477" s="5">
        <f t="shared" si="32"/>
        <v>0.47150000000000036</v>
      </c>
      <c r="X477">
        <f t="shared" si="31"/>
        <v>139092.50000000012</v>
      </c>
      <c r="Y477" s="4">
        <f ca="1"/>
        <v>0</v>
      </c>
      <c r="Z477" s="4">
        <v>1.8208083921561385E-24</v>
      </c>
      <c r="AA477" s="13">
        <v>0</v>
      </c>
    </row>
    <row r="478" spans="23:27">
      <c r="W478" s="5">
        <f t="shared" si="32"/>
        <v>0.47250000000000036</v>
      </c>
      <c r="X478">
        <f t="shared" si="31"/>
        <v>139387.50000000012</v>
      </c>
      <c r="Y478" s="4">
        <f ca="1"/>
        <v>0</v>
      </c>
      <c r="Z478" s="4">
        <v>1.3668047714162557E-24</v>
      </c>
      <c r="AA478" s="13">
        <v>0</v>
      </c>
    </row>
    <row r="479" spans="23:27">
      <c r="W479" s="5">
        <f t="shared" si="32"/>
        <v>0.47350000000000037</v>
      </c>
      <c r="X479">
        <f t="shared" si="31"/>
        <v>139682.50000000012</v>
      </c>
      <c r="Y479" s="4">
        <f ca="1"/>
        <v>0</v>
      </c>
      <c r="Z479" s="4">
        <v>1.0242244203560291E-24</v>
      </c>
      <c r="AA479" s="13">
        <v>0</v>
      </c>
    </row>
    <row r="480" spans="23:27">
      <c r="W480" s="5">
        <f t="shared" si="32"/>
        <v>0.47450000000000037</v>
      </c>
      <c r="X480">
        <f t="shared" si="31"/>
        <v>139977.50000000012</v>
      </c>
      <c r="Y480" s="4">
        <f ca="1"/>
        <v>0</v>
      </c>
      <c r="Z480" s="4">
        <v>7.6617856541865982E-25</v>
      </c>
      <c r="AA480" s="13">
        <v>0</v>
      </c>
    </row>
    <row r="481" spans="23:27">
      <c r="W481" s="5">
        <f t="shared" si="32"/>
        <v>0.47550000000000037</v>
      </c>
      <c r="X481">
        <f t="shared" si="31"/>
        <v>140272.50000000012</v>
      </c>
      <c r="Y481" s="4">
        <f ca="1"/>
        <v>0</v>
      </c>
      <c r="Z481" s="4">
        <v>5.7215136025077036E-25</v>
      </c>
      <c r="AA481" s="13">
        <v>0</v>
      </c>
    </row>
    <row r="482" spans="23:27">
      <c r="W482" s="5">
        <f t="shared" si="32"/>
        <v>0.47650000000000037</v>
      </c>
      <c r="X482">
        <f t="shared" si="31"/>
        <v>140567.50000000012</v>
      </c>
      <c r="Y482" s="4">
        <f ca="1"/>
        <v>0</v>
      </c>
      <c r="Z482" s="4">
        <v>4.2651840172582176E-25</v>
      </c>
      <c r="AA482" s="13">
        <v>0</v>
      </c>
    </row>
    <row r="483" spans="23:27">
      <c r="W483" s="5">
        <f t="shared" si="32"/>
        <v>0.47750000000000037</v>
      </c>
      <c r="X483">
        <f t="shared" si="31"/>
        <v>140862.50000000012</v>
      </c>
      <c r="Y483" s="4">
        <f ca="1"/>
        <v>0</v>
      </c>
      <c r="Z483" s="4">
        <v>3.1740250651478333E-25</v>
      </c>
      <c r="AA483" s="13">
        <v>0</v>
      </c>
    </row>
    <row r="484" spans="23:27">
      <c r="W484" s="5">
        <f t="shared" si="32"/>
        <v>0.47850000000000037</v>
      </c>
      <c r="X484">
        <f t="shared" si="31"/>
        <v>141157.50000000012</v>
      </c>
      <c r="Y484" s="4">
        <f ca="1"/>
        <v>0</v>
      </c>
      <c r="Z484" s="4">
        <v>2.357916996985148E-25</v>
      </c>
      <c r="AA484" s="13">
        <v>0</v>
      </c>
    </row>
    <row r="485" spans="23:27">
      <c r="W485" s="5">
        <f t="shared" si="32"/>
        <v>0.47950000000000037</v>
      </c>
      <c r="X485">
        <f t="shared" si="31"/>
        <v>141452.50000000012</v>
      </c>
      <c r="Y485" s="4">
        <f ca="1"/>
        <v>0</v>
      </c>
      <c r="Z485" s="4">
        <v>1.748606547503888E-25</v>
      </c>
      <c r="AA485" s="13">
        <v>0</v>
      </c>
    </row>
    <row r="486" spans="23:27">
      <c r="W486" s="5">
        <f t="shared" si="32"/>
        <v>0.48050000000000037</v>
      </c>
      <c r="X486">
        <f t="shared" si="31"/>
        <v>141747.50000000012</v>
      </c>
      <c r="Y486" s="4">
        <f ca="1"/>
        <v>0</v>
      </c>
      <c r="Z486" s="4">
        <v>1.2944967368815645E-25</v>
      </c>
      <c r="AA486" s="13">
        <v>0</v>
      </c>
    </row>
    <row r="487" spans="23:27">
      <c r="W487" s="5">
        <f t="shared" si="32"/>
        <v>0.48150000000000037</v>
      </c>
      <c r="X487">
        <f t="shared" si="31"/>
        <v>142042.50000000012</v>
      </c>
      <c r="Y487" s="4">
        <f ca="1"/>
        <v>0</v>
      </c>
      <c r="Z487" s="4">
        <v>9.5665410914873501E-26</v>
      </c>
      <c r="AA487" s="13">
        <v>0</v>
      </c>
    </row>
    <row r="488" spans="23:27">
      <c r="W488" s="5">
        <f t="shared" si="32"/>
        <v>0.48250000000000037</v>
      </c>
      <c r="X488">
        <f t="shared" si="31"/>
        <v>142337.50000000012</v>
      </c>
      <c r="Y488" s="4">
        <f ca="1"/>
        <v>0</v>
      </c>
      <c r="Z488" s="4">
        <v>7.0575488885326382E-26</v>
      </c>
      <c r="AA488" s="13">
        <v>0</v>
      </c>
    </row>
    <row r="489" spans="23:27">
      <c r="W489" s="5">
        <f t="shared" si="32"/>
        <v>0.48350000000000037</v>
      </c>
      <c r="X489">
        <f t="shared" si="31"/>
        <v>142632.50000000012</v>
      </c>
      <c r="Y489" s="4">
        <f ca="1"/>
        <v>0</v>
      </c>
      <c r="Z489" s="4">
        <v>5.1975380261219079E-26</v>
      </c>
      <c r="AA489" s="13">
        <v>0</v>
      </c>
    </row>
    <row r="490" spans="23:27">
      <c r="W490" s="5">
        <f t="shared" si="32"/>
        <v>0.48450000000000037</v>
      </c>
      <c r="X490">
        <f t="shared" si="31"/>
        <v>142927.50000000012</v>
      </c>
      <c r="Y490" s="4">
        <f ca="1"/>
        <v>0</v>
      </c>
      <c r="Z490" s="4">
        <v>3.8210800625167036E-26</v>
      </c>
      <c r="AA490" s="13">
        <v>0</v>
      </c>
    </row>
    <row r="491" spans="23:27">
      <c r="W491" s="5">
        <f t="shared" si="32"/>
        <v>0.48550000000000038</v>
      </c>
      <c r="X491">
        <f t="shared" si="31"/>
        <v>143222.50000000012</v>
      </c>
      <c r="Y491" s="4">
        <f ca="1"/>
        <v>0</v>
      </c>
      <c r="Z491" s="4">
        <v>2.8042655676503518E-26</v>
      </c>
      <c r="AA491" s="13">
        <v>0</v>
      </c>
    </row>
    <row r="492" spans="23:27">
      <c r="W492" s="5">
        <f t="shared" si="32"/>
        <v>0.48650000000000038</v>
      </c>
      <c r="X492">
        <f t="shared" si="31"/>
        <v>143517.50000000012</v>
      </c>
      <c r="Y492" s="4">
        <f ca="1"/>
        <v>0</v>
      </c>
      <c r="Z492" s="4">
        <v>2.0544545670262519E-26</v>
      </c>
      <c r="AA492" s="13">
        <v>0</v>
      </c>
    </row>
    <row r="493" spans="23:27">
      <c r="W493" s="5">
        <f t="shared" si="32"/>
        <v>0.48750000000000038</v>
      </c>
      <c r="X493">
        <f t="shared" si="31"/>
        <v>143812.50000000012</v>
      </c>
      <c r="Y493" s="4">
        <f ca="1"/>
        <v>0</v>
      </c>
      <c r="Z493" s="4">
        <v>1.5025128879443975E-26</v>
      </c>
      <c r="AA493" s="13">
        <v>0</v>
      </c>
    </row>
    <row r="494" spans="23:27">
      <c r="W494" s="5">
        <f t="shared" si="32"/>
        <v>0.48850000000000038</v>
      </c>
      <c r="X494">
        <f t="shared" si="31"/>
        <v>144107.50000000012</v>
      </c>
      <c r="Y494" s="4">
        <f ca="1"/>
        <v>0</v>
      </c>
      <c r="Z494" s="4">
        <v>1.0969428377158071E-26</v>
      </c>
      <c r="AA494" s="13">
        <v>0</v>
      </c>
    </row>
    <row r="495" spans="23:27">
      <c r="W495" s="5">
        <f t="shared" si="32"/>
        <v>0.48950000000000038</v>
      </c>
      <c r="X495">
        <f t="shared" si="31"/>
        <v>144402.50000000012</v>
      </c>
      <c r="Y495" s="4">
        <f ca="1"/>
        <v>0</v>
      </c>
      <c r="Z495" s="4">
        <v>7.9945455401609001E-27</v>
      </c>
      <c r="AA495" s="13">
        <v>0</v>
      </c>
    </row>
    <row r="496" spans="23:27">
      <c r="W496" s="5">
        <f t="shared" si="32"/>
        <v>0.49050000000000038</v>
      </c>
      <c r="X496">
        <f t="shared" si="31"/>
        <v>144697.50000000012</v>
      </c>
      <c r="Y496" s="4">
        <f ca="1"/>
        <v>0</v>
      </c>
      <c r="Z496" s="4">
        <v>5.8163083980831398E-27</v>
      </c>
      <c r="AA496" s="13">
        <v>0</v>
      </c>
    </row>
    <row r="497" spans="23:27">
      <c r="W497" s="5">
        <f t="shared" si="32"/>
        <v>0.49150000000000038</v>
      </c>
      <c r="X497">
        <f t="shared" si="31"/>
        <v>144992.50000000012</v>
      </c>
      <c r="Y497" s="4">
        <f ca="1"/>
        <v>0</v>
      </c>
      <c r="Z497" s="4">
        <v>4.2242032173849646E-27</v>
      </c>
      <c r="AA497" s="13">
        <v>0</v>
      </c>
    </row>
    <row r="498" spans="23:27">
      <c r="W498" s="5">
        <f t="shared" si="32"/>
        <v>0.49250000000000038</v>
      </c>
      <c r="X498">
        <f t="shared" si="31"/>
        <v>145287.50000000012</v>
      </c>
      <c r="Y498" s="4">
        <f ca="1"/>
        <v>0</v>
      </c>
      <c r="Z498" s="4">
        <v>3.0625683068124878E-27</v>
      </c>
      <c r="AA498" s="13">
        <v>0</v>
      </c>
    </row>
    <row r="499" spans="23:27">
      <c r="W499" s="5">
        <f t="shared" si="32"/>
        <v>0.49350000000000038</v>
      </c>
      <c r="X499">
        <f t="shared" si="31"/>
        <v>145582.50000000012</v>
      </c>
      <c r="Y499" s="4">
        <f ca="1"/>
        <v>0</v>
      </c>
      <c r="Z499" s="4">
        <v>2.2165127959171741E-27</v>
      </c>
      <c r="AA499" s="13">
        <v>0</v>
      </c>
    </row>
    <row r="500" spans="23:27">
      <c r="W500" s="5">
        <f t="shared" si="32"/>
        <v>0.49450000000000038</v>
      </c>
      <c r="X500">
        <f t="shared" si="31"/>
        <v>145877.50000000012</v>
      </c>
      <c r="Y500" s="4">
        <f ca="1"/>
        <v>0</v>
      </c>
      <c r="Z500" s="4">
        <v>1.601393479433911E-27</v>
      </c>
      <c r="AA500" s="13">
        <v>0</v>
      </c>
    </row>
    <row r="501" spans="23:27">
      <c r="W501" s="5">
        <f t="shared" si="32"/>
        <v>0.49550000000000038</v>
      </c>
      <c r="X501">
        <f t="shared" si="31"/>
        <v>146172.50000000012</v>
      </c>
      <c r="Y501" s="4">
        <f ca="1"/>
        <v>0</v>
      </c>
      <c r="Z501" s="4">
        <v>1.1549657368263765E-27</v>
      </c>
      <c r="AA501" s="13">
        <v>0</v>
      </c>
    </row>
    <row r="502" spans="23:27">
      <c r="W502" s="5">
        <f t="shared" si="32"/>
        <v>0.49650000000000039</v>
      </c>
      <c r="X502">
        <f t="shared" si="31"/>
        <v>146467.50000000012</v>
      </c>
      <c r="Y502" s="4">
        <f ca="1"/>
        <v>0</v>
      </c>
      <c r="Z502" s="4">
        <v>8.315402140357976E-28</v>
      </c>
      <c r="AA502" s="13">
        <v>0</v>
      </c>
    </row>
    <row r="503" spans="23:27">
      <c r="W503" s="5">
        <f t="shared" si="32"/>
        <v>0.49750000000000039</v>
      </c>
      <c r="X503">
        <f t="shared" si="31"/>
        <v>146762.50000000012</v>
      </c>
      <c r="Y503" s="4">
        <f ca="1"/>
        <v>0</v>
      </c>
      <c r="Z503" s="4">
        <v>5.9764103059612366E-28</v>
      </c>
      <c r="AA503" s="13">
        <v>0</v>
      </c>
    </row>
    <row r="504" spans="23:27">
      <c r="W504" s="5">
        <f t="shared" si="32"/>
        <v>0.49850000000000039</v>
      </c>
      <c r="X504">
        <f t="shared" si="31"/>
        <v>147057.50000000012</v>
      </c>
      <c r="Y504" s="4">
        <f ca="1"/>
        <v>0</v>
      </c>
      <c r="Z504" s="4">
        <v>4.2878583591481454E-28</v>
      </c>
      <c r="AA504" s="13">
        <v>0</v>
      </c>
    </row>
    <row r="505" spans="23:27">
      <c r="W505" s="5">
        <f t="shared" si="32"/>
        <v>0.49950000000000039</v>
      </c>
      <c r="X505">
        <f t="shared" si="31"/>
        <v>147352.50000000012</v>
      </c>
      <c r="Y505" s="4">
        <f ca="1"/>
        <v>0</v>
      </c>
      <c r="Z505" s="4">
        <v>3.0710240412885656E-28</v>
      </c>
      <c r="AA505" s="13">
        <v>0</v>
      </c>
    </row>
    <row r="506" spans="23:27">
      <c r="X506">
        <f t="shared" si="31"/>
        <v>0</v>
      </c>
      <c r="Y506" s="4">
        <f ca="1"/>
        <v>0</v>
      </c>
      <c r="Z506" s="4">
        <v>2.1956779911988129E-28</v>
      </c>
      <c r="AA506" s="13">
        <v>0</v>
      </c>
    </row>
    <row r="507" spans="23:27">
      <c r="X507">
        <f t="shared" si="31"/>
        <v>0</v>
      </c>
      <c r="Y507" s="4">
        <f ca="1"/>
        <v>0</v>
      </c>
      <c r="Z507" s="4">
        <v>1.5670996585044268E-28</v>
      </c>
      <c r="AA507" s="13">
        <v>0</v>
      </c>
    </row>
    <row r="508" spans="23:27">
      <c r="X508">
        <f t="shared" si="31"/>
        <v>0</v>
      </c>
      <c r="Y508" s="4">
        <f ca="1"/>
        <v>0</v>
      </c>
      <c r="Z508" s="4">
        <v>1.1165212877778127E-28</v>
      </c>
      <c r="AA508" s="13">
        <v>0</v>
      </c>
    </row>
    <row r="509" spans="23:27">
      <c r="X509">
        <f t="shared" si="31"/>
        <v>0</v>
      </c>
      <c r="Y509" s="4">
        <f ca="1"/>
        <v>0</v>
      </c>
      <c r="Z509" s="4">
        <v>7.9410826356745735E-29</v>
      </c>
      <c r="AA509" s="13">
        <v>0</v>
      </c>
    </row>
    <row r="510" spans="23:27">
      <c r="X510">
        <f t="shared" si="31"/>
        <v>0</v>
      </c>
      <c r="Y510" s="4">
        <f ca="1"/>
        <v>0</v>
      </c>
      <c r="Z510" s="4">
        <v>5.6381241057305051E-29</v>
      </c>
      <c r="AA510" s="13">
        <v>0</v>
      </c>
    </row>
    <row r="511" spans="23:27">
      <c r="X511">
        <f t="shared" si="31"/>
        <v>0</v>
      </c>
      <c r="Y511" s="4">
        <f ca="1"/>
        <v>0</v>
      </c>
      <c r="Z511" s="4">
        <v>3.9960567735425995E-29</v>
      </c>
      <c r="AA511" s="13">
        <v>0</v>
      </c>
    </row>
    <row r="512" spans="23:27">
      <c r="X512">
        <f t="shared" si="31"/>
        <v>0</v>
      </c>
      <c r="Y512" s="4">
        <f ca="1"/>
        <v>0</v>
      </c>
      <c r="Z512" s="4">
        <v>2.8272920145526222E-29</v>
      </c>
      <c r="AA512" s="13">
        <v>0</v>
      </c>
    </row>
    <row r="513" spans="24:27">
      <c r="X513">
        <f t="shared" si="31"/>
        <v>0</v>
      </c>
      <c r="Y513" s="4">
        <f ca="1"/>
        <v>0</v>
      </c>
      <c r="Z513" s="4">
        <v>1.9968782134083527E-29</v>
      </c>
      <c r="AA513" s="13">
        <v>0</v>
      </c>
    </row>
    <row r="514" spans="24:27">
      <c r="X514">
        <f t="shared" si="31"/>
        <v>0</v>
      </c>
      <c r="Y514" s="4">
        <f ca="1"/>
        <v>0</v>
      </c>
      <c r="Z514" s="4">
        <v>1.4079080263351168E-29</v>
      </c>
      <c r="AA514" s="13">
        <v>0</v>
      </c>
    </row>
    <row r="515" spans="24:27">
      <c r="X515">
        <f t="shared" si="31"/>
        <v>0</v>
      </c>
      <c r="Y515" s="4">
        <f ca="1"/>
        <v>0</v>
      </c>
      <c r="Z515" s="4">
        <v>9.9092020720171316E-30</v>
      </c>
      <c r="AA515" s="13">
        <v>0</v>
      </c>
    </row>
    <row r="516" spans="24:27">
      <c r="X516">
        <f t="shared" si="31"/>
        <v>0</v>
      </c>
      <c r="Y516" s="4">
        <f ca="1"/>
        <v>0</v>
      </c>
      <c r="Z516" s="4">
        <v>6.9621709050236577E-30</v>
      </c>
      <c r="AA516" s="13">
        <v>0</v>
      </c>
    </row>
    <row r="517" spans="24:27">
      <c r="X517">
        <f t="shared" ref="X517:X580" si="33">W517*$C$21</f>
        <v>0</v>
      </c>
      <c r="Y517" s="4">
        <f ca="1"/>
        <v>0</v>
      </c>
      <c r="Z517" s="4">
        <v>4.8830612641813049E-30</v>
      </c>
      <c r="AA517" s="13">
        <v>0</v>
      </c>
    </row>
    <row r="518" spans="24:27">
      <c r="X518">
        <f t="shared" si="33"/>
        <v>0</v>
      </c>
      <c r="Y518" s="4">
        <f ca="1"/>
        <v>0</v>
      </c>
      <c r="Z518" s="4">
        <v>3.4188580397709723E-30</v>
      </c>
      <c r="AA518" s="13">
        <v>0</v>
      </c>
    </row>
    <row r="519" spans="24:27">
      <c r="X519">
        <f t="shared" si="33"/>
        <v>0</v>
      </c>
      <c r="Y519" s="4">
        <f ca="1"/>
        <v>0</v>
      </c>
      <c r="Z519" s="4">
        <v>2.3895233036048826E-30</v>
      </c>
      <c r="AA519" s="13">
        <v>0</v>
      </c>
    </row>
    <row r="520" spans="24:27">
      <c r="X520">
        <f t="shared" si="33"/>
        <v>0</v>
      </c>
      <c r="Y520" s="4">
        <f ca="1"/>
        <v>0</v>
      </c>
      <c r="Z520" s="4">
        <v>1.6671807469210707E-30</v>
      </c>
      <c r="AA520" s="13">
        <v>0</v>
      </c>
    </row>
    <row r="521" spans="24:27">
      <c r="X521">
        <f t="shared" si="33"/>
        <v>0</v>
      </c>
      <c r="Y521" s="4">
        <f ca="1"/>
        <v>0</v>
      </c>
      <c r="Z521" s="4">
        <v>1.1611684413969607E-30</v>
      </c>
      <c r="AA521" s="13">
        <v>0</v>
      </c>
    </row>
    <row r="522" spans="24:27">
      <c r="X522">
        <f t="shared" si="33"/>
        <v>0</v>
      </c>
      <c r="Y522" s="4">
        <f ca="1"/>
        <v>0</v>
      </c>
      <c r="Z522" s="4">
        <v>8.0732572689041292E-31</v>
      </c>
      <c r="AA522" s="13">
        <v>0</v>
      </c>
    </row>
    <row r="523" spans="24:27">
      <c r="X523">
        <f t="shared" si="33"/>
        <v>0</v>
      </c>
      <c r="Y523" s="4">
        <f ca="1"/>
        <v>0</v>
      </c>
      <c r="Z523" s="4">
        <v>5.603292600450498E-31</v>
      </c>
      <c r="AA523" s="13">
        <v>0</v>
      </c>
    </row>
    <row r="524" spans="24:27">
      <c r="X524">
        <f t="shared" si="33"/>
        <v>0</v>
      </c>
      <c r="Y524" s="4">
        <f ca="1"/>
        <v>0</v>
      </c>
      <c r="Z524" s="4">
        <v>3.8822067781420331E-31</v>
      </c>
      <c r="AA524" s="13">
        <v>0</v>
      </c>
    </row>
    <row r="525" spans="24:27">
      <c r="X525">
        <f t="shared" si="33"/>
        <v>0</v>
      </c>
      <c r="Y525" s="4">
        <f ca="1"/>
        <v>0</v>
      </c>
      <c r="Z525" s="4">
        <v>2.6850649195359388E-31</v>
      </c>
      <c r="AA525" s="13">
        <v>0</v>
      </c>
    </row>
    <row r="526" spans="24:27">
      <c r="X526">
        <f t="shared" si="33"/>
        <v>0</v>
      </c>
      <c r="Y526" s="4">
        <f ca="1"/>
        <v>0</v>
      </c>
      <c r="Z526" s="4">
        <v>1.8538372165002669E-31</v>
      </c>
      <c r="AA526" s="13">
        <v>0</v>
      </c>
    </row>
    <row r="527" spans="24:27">
      <c r="X527">
        <f t="shared" si="33"/>
        <v>0</v>
      </c>
      <c r="Y527" s="4">
        <f ca="1"/>
        <v>0</v>
      </c>
      <c r="Z527" s="4">
        <v>1.277700299099111E-31</v>
      </c>
      <c r="AA527" s="13">
        <v>0</v>
      </c>
    </row>
    <row r="528" spans="24:27">
      <c r="X528">
        <f t="shared" si="33"/>
        <v>0</v>
      </c>
      <c r="Y528" s="4">
        <f ca="1"/>
        <v>0</v>
      </c>
      <c r="Z528" s="4">
        <v>8.7907697762610759E-32</v>
      </c>
      <c r="AA528" s="13">
        <v>0</v>
      </c>
    </row>
    <row r="529" spans="24:27">
      <c r="X529">
        <f t="shared" si="33"/>
        <v>0</v>
      </c>
      <c r="Y529" s="4">
        <f ca="1"/>
        <v>0</v>
      </c>
      <c r="Z529" s="4">
        <v>6.0376126007885466E-32</v>
      </c>
      <c r="AA529" s="13">
        <v>0</v>
      </c>
    </row>
    <row r="530" spans="24:27">
      <c r="X530">
        <f t="shared" si="33"/>
        <v>0</v>
      </c>
      <c r="Y530" s="4">
        <f ca="1"/>
        <v>0</v>
      </c>
      <c r="Z530" s="4">
        <v>4.139462244101511E-32</v>
      </c>
      <c r="AA530" s="13">
        <v>0</v>
      </c>
    </row>
    <row r="531" spans="24:27">
      <c r="X531">
        <f t="shared" si="33"/>
        <v>0</v>
      </c>
      <c r="Y531" s="4">
        <f ca="1"/>
        <v>0</v>
      </c>
      <c r="Z531" s="4">
        <v>2.8331063192536059E-32</v>
      </c>
      <c r="AA531" s="13">
        <v>0</v>
      </c>
    </row>
    <row r="532" spans="24:27">
      <c r="X532">
        <f t="shared" si="33"/>
        <v>0</v>
      </c>
      <c r="Y532" s="4">
        <f ca="1"/>
        <v>0</v>
      </c>
      <c r="Z532" s="4">
        <v>1.9356284857352089E-32</v>
      </c>
      <c r="AA532" s="13">
        <v>0</v>
      </c>
    </row>
    <row r="533" spans="24:27">
      <c r="X533">
        <f t="shared" si="33"/>
        <v>0</v>
      </c>
      <c r="Y533" s="4">
        <f ca="1"/>
        <v>0</v>
      </c>
      <c r="Z533" s="4">
        <v>1.3201438082293975E-32</v>
      </c>
      <c r="AA533" s="13">
        <v>0</v>
      </c>
    </row>
    <row r="534" spans="24:27">
      <c r="X534">
        <f t="shared" si="33"/>
        <v>0</v>
      </c>
      <c r="Y534" s="4">
        <f ca="1"/>
        <v>0</v>
      </c>
      <c r="Z534" s="4">
        <v>8.9879471510609181E-33</v>
      </c>
      <c r="AA534" s="13">
        <v>0</v>
      </c>
    </row>
    <row r="535" spans="24:27">
      <c r="X535">
        <f t="shared" si="33"/>
        <v>0</v>
      </c>
      <c r="Y535" s="4">
        <f ca="1"/>
        <v>0</v>
      </c>
      <c r="Z535" s="4">
        <v>6.1085724498323669E-33</v>
      </c>
      <c r="AA535" s="13">
        <v>0</v>
      </c>
    </row>
    <row r="536" spans="24:27">
      <c r="X536">
        <f t="shared" si="33"/>
        <v>0</v>
      </c>
      <c r="Y536" s="4">
        <f ca="1"/>
        <v>0</v>
      </c>
      <c r="Z536" s="4">
        <v>4.144372893211683E-33</v>
      </c>
      <c r="AA536" s="13">
        <v>0</v>
      </c>
    </row>
    <row r="537" spans="24:27">
      <c r="X537">
        <f t="shared" si="33"/>
        <v>0</v>
      </c>
      <c r="Y537" s="4">
        <f ca="1"/>
        <v>0</v>
      </c>
      <c r="Z537" s="4">
        <v>2.8068404165696472E-33</v>
      </c>
      <c r="AA537" s="13">
        <v>0</v>
      </c>
    </row>
    <row r="538" spans="24:27">
      <c r="X538">
        <f t="shared" si="33"/>
        <v>0</v>
      </c>
      <c r="Y538" s="4">
        <f ca="1"/>
        <v>0</v>
      </c>
      <c r="Z538" s="4">
        <v>1.8976510112508808E-33</v>
      </c>
      <c r="AA538" s="13">
        <v>0</v>
      </c>
    </row>
    <row r="539" spans="24:27">
      <c r="X539">
        <f t="shared" si="33"/>
        <v>0</v>
      </c>
      <c r="Y539" s="4">
        <f ca="1"/>
        <v>0</v>
      </c>
      <c r="Z539" s="4">
        <v>1.2807212808853861E-33</v>
      </c>
      <c r="AA539" s="13">
        <v>0</v>
      </c>
    </row>
    <row r="540" spans="24:27">
      <c r="X540">
        <f t="shared" si="33"/>
        <v>0</v>
      </c>
      <c r="Y540" s="4">
        <f ca="1"/>
        <v>0</v>
      </c>
      <c r="Z540" s="4">
        <v>8.628444077535823E-34</v>
      </c>
      <c r="AA540" s="13">
        <v>0</v>
      </c>
    </row>
    <row r="541" spans="24:27">
      <c r="X541">
        <f t="shared" si="33"/>
        <v>0</v>
      </c>
      <c r="Y541" s="4">
        <f ca="1"/>
        <v>0</v>
      </c>
      <c r="Z541" s="4">
        <v>5.802963827318473E-34</v>
      </c>
      <c r="AA541" s="13">
        <v>0</v>
      </c>
    </row>
    <row r="542" spans="24:27">
      <c r="X542">
        <f t="shared" si="33"/>
        <v>0</v>
      </c>
      <c r="Y542" s="4">
        <f ca="1"/>
        <v>0</v>
      </c>
      <c r="Z542" s="4">
        <v>3.8958899439385215E-34</v>
      </c>
      <c r="AA542" s="13">
        <v>0</v>
      </c>
    </row>
    <row r="543" spans="24:27">
      <c r="X543">
        <f t="shared" si="33"/>
        <v>0</v>
      </c>
      <c r="Y543" s="4">
        <f ca="1"/>
        <v>0</v>
      </c>
      <c r="Z543" s="4">
        <v>2.6109759338150106E-34</v>
      </c>
      <c r="AA543" s="13">
        <v>0</v>
      </c>
    </row>
    <row r="544" spans="24:27">
      <c r="X544">
        <f t="shared" si="33"/>
        <v>0</v>
      </c>
      <c r="Y544" s="4">
        <f ca="1"/>
        <v>0</v>
      </c>
      <c r="Z544" s="4">
        <v>1.7467806073230977E-34</v>
      </c>
      <c r="AA544" s="13">
        <v>0</v>
      </c>
    </row>
    <row r="545" spans="24:27">
      <c r="X545">
        <f t="shared" si="33"/>
        <v>0</v>
      </c>
      <c r="Y545" s="4">
        <f ca="1"/>
        <v>0</v>
      </c>
      <c r="Z545" s="4">
        <v>1.166576144148603E-34</v>
      </c>
      <c r="AA545" s="13">
        <v>0</v>
      </c>
    </row>
    <row r="546" spans="24:27">
      <c r="X546">
        <f t="shared" si="33"/>
        <v>0</v>
      </c>
      <c r="Y546" s="4">
        <f ca="1"/>
        <v>0</v>
      </c>
      <c r="Z546" s="4">
        <v>7.7772666622116355E-35</v>
      </c>
      <c r="AA546" s="13">
        <v>0</v>
      </c>
    </row>
    <row r="547" spans="24:27">
      <c r="X547">
        <f t="shared" si="33"/>
        <v>0</v>
      </c>
      <c r="Y547" s="4">
        <f ca="1"/>
        <v>0</v>
      </c>
      <c r="Z547" s="4">
        <v>5.1758298700196433E-35</v>
      </c>
      <c r="AA547" s="13">
        <v>0</v>
      </c>
    </row>
    <row r="548" spans="24:27">
      <c r="X548">
        <f t="shared" si="33"/>
        <v>0</v>
      </c>
      <c r="Y548" s="4">
        <f ca="1"/>
        <v>0</v>
      </c>
      <c r="Z548" s="4">
        <v>3.4385237913747386E-35</v>
      </c>
      <c r="AA548" s="13">
        <v>0</v>
      </c>
    </row>
    <row r="549" spans="24:27">
      <c r="X549">
        <f t="shared" si="33"/>
        <v>0</v>
      </c>
      <c r="Y549" s="4">
        <f ca="1"/>
        <v>0</v>
      </c>
      <c r="Z549" s="4">
        <v>2.2803580795670839E-35</v>
      </c>
      <c r="AA549" s="13">
        <v>0</v>
      </c>
    </row>
    <row r="550" spans="24:27">
      <c r="X550">
        <f t="shared" si="33"/>
        <v>0</v>
      </c>
      <c r="Y550" s="4">
        <f ca="1"/>
        <v>0</v>
      </c>
      <c r="Z550" s="4">
        <v>1.5096385386460179E-35</v>
      </c>
      <c r="AA550" s="13">
        <v>0</v>
      </c>
    </row>
    <row r="551" spans="24:27">
      <c r="X551">
        <f t="shared" si="33"/>
        <v>0</v>
      </c>
      <c r="Y551" s="4">
        <f ca="1"/>
        <v>0</v>
      </c>
      <c r="Z551" s="4">
        <v>9.976581327417578E-36</v>
      </c>
      <c r="AA551" s="13">
        <v>0</v>
      </c>
    </row>
    <row r="552" spans="24:27">
      <c r="X552">
        <f t="shared" si="33"/>
        <v>0</v>
      </c>
      <c r="Y552" s="4">
        <f ca="1"/>
        <v>0</v>
      </c>
      <c r="Z552" s="4">
        <v>6.5815669845963721E-36</v>
      </c>
      <c r="AA552" s="13">
        <v>0</v>
      </c>
    </row>
    <row r="553" spans="24:27">
      <c r="X553">
        <f t="shared" si="33"/>
        <v>0</v>
      </c>
      <c r="Y553" s="4">
        <f ca="1"/>
        <v>0</v>
      </c>
      <c r="Z553" s="4">
        <v>4.3342662725247551E-36</v>
      </c>
      <c r="AA553" s="13">
        <v>0</v>
      </c>
    </row>
    <row r="554" spans="24:27">
      <c r="X554">
        <f t="shared" si="33"/>
        <v>0</v>
      </c>
      <c r="Y554" s="4">
        <f ca="1"/>
        <v>0</v>
      </c>
      <c r="Z554" s="4">
        <v>2.8493154597489245E-36</v>
      </c>
      <c r="AA554" s="13">
        <v>0</v>
      </c>
    </row>
    <row r="555" spans="24:27">
      <c r="X555">
        <f t="shared" si="33"/>
        <v>0</v>
      </c>
      <c r="Y555" s="4">
        <f ca="1"/>
        <v>0</v>
      </c>
      <c r="Z555" s="4">
        <v>1.8698384417136922E-36</v>
      </c>
      <c r="AA555" s="13">
        <v>0</v>
      </c>
    </row>
    <row r="556" spans="24:27">
      <c r="X556">
        <f t="shared" si="33"/>
        <v>0</v>
      </c>
      <c r="Y556" s="4">
        <f ca="1"/>
        <v>0</v>
      </c>
      <c r="Z556" s="4">
        <v>1.2249156350864995E-36</v>
      </c>
      <c r="AA556" s="13">
        <v>0</v>
      </c>
    </row>
    <row r="557" spans="24:27">
      <c r="X557">
        <f t="shared" si="33"/>
        <v>0</v>
      </c>
      <c r="Y557" s="4">
        <f ca="1"/>
        <v>0</v>
      </c>
      <c r="Z557" s="4">
        <v>8.0102626759628514E-37</v>
      </c>
      <c r="AA557" s="13">
        <v>0</v>
      </c>
    </row>
    <row r="558" spans="24:27">
      <c r="X558">
        <f t="shared" si="33"/>
        <v>0</v>
      </c>
      <c r="Y558" s="4">
        <f ca="1"/>
        <v>0</v>
      </c>
      <c r="Z558" s="4">
        <v>5.2290857728733626E-37</v>
      </c>
      <c r="AA558" s="13">
        <v>0</v>
      </c>
    </row>
    <row r="559" spans="24:27">
      <c r="X559">
        <f t="shared" si="33"/>
        <v>0</v>
      </c>
      <c r="Y559" s="4">
        <f ca="1"/>
        <v>0</v>
      </c>
      <c r="Z559" s="4">
        <v>3.4075571172318706E-37</v>
      </c>
      <c r="AA559" s="13">
        <v>0</v>
      </c>
    </row>
    <row r="560" spans="24:27">
      <c r="X560">
        <f t="shared" si="33"/>
        <v>0</v>
      </c>
      <c r="Y560" s="4">
        <f ca="1"/>
        <v>0</v>
      </c>
      <c r="Z560" s="4">
        <v>2.2166587372075109E-37</v>
      </c>
      <c r="AA560" s="13">
        <v>0</v>
      </c>
    </row>
    <row r="561" spans="24:27">
      <c r="X561">
        <f t="shared" si="33"/>
        <v>0</v>
      </c>
      <c r="Y561" s="4">
        <f ca="1"/>
        <v>0</v>
      </c>
      <c r="Z561" s="4">
        <v>1.4394374192569974E-37</v>
      </c>
      <c r="AA561" s="13">
        <v>0</v>
      </c>
    </row>
    <row r="562" spans="24:27">
      <c r="X562">
        <f t="shared" si="33"/>
        <v>0</v>
      </c>
      <c r="Y562" s="4">
        <f ca="1"/>
        <v>0</v>
      </c>
      <c r="Z562" s="4">
        <v>9.3309302458353638E-38</v>
      </c>
      <c r="AA562" s="13">
        <v>0</v>
      </c>
    </row>
    <row r="563" spans="24:27">
      <c r="X563">
        <f t="shared" si="33"/>
        <v>0</v>
      </c>
      <c r="Y563" s="4">
        <f ca="1"/>
        <v>0</v>
      </c>
      <c r="Z563" s="4">
        <v>6.0380297155006985E-38</v>
      </c>
      <c r="AA563" s="13">
        <v>0</v>
      </c>
    </row>
    <row r="564" spans="24:27">
      <c r="X564">
        <f t="shared" si="33"/>
        <v>0</v>
      </c>
      <c r="Y564" s="4">
        <f ca="1"/>
        <v>0</v>
      </c>
      <c r="Z564" s="4">
        <v>3.9003505703472407E-38</v>
      </c>
      <c r="AA564" s="13">
        <v>0</v>
      </c>
    </row>
    <row r="565" spans="24:27">
      <c r="X565">
        <f t="shared" si="33"/>
        <v>0</v>
      </c>
      <c r="Y565" s="4">
        <f ca="1"/>
        <v>0</v>
      </c>
      <c r="Z565" s="4">
        <v>2.5150700363273274E-38</v>
      </c>
      <c r="AA565" s="13">
        <v>0</v>
      </c>
    </row>
    <row r="566" spans="24:27">
      <c r="X566">
        <f t="shared" si="33"/>
        <v>0</v>
      </c>
      <c r="Y566" s="4">
        <f ca="1"/>
        <v>0</v>
      </c>
      <c r="Z566" s="4">
        <v>1.6189540074907672E-38</v>
      </c>
      <c r="AA566" s="13">
        <v>0</v>
      </c>
    </row>
    <row r="567" spans="24:27">
      <c r="X567">
        <f t="shared" si="33"/>
        <v>0</v>
      </c>
      <c r="Y567" s="4">
        <f ca="1"/>
        <v>0</v>
      </c>
      <c r="Z567" s="4">
        <v>1.0402958730521729E-38</v>
      </c>
      <c r="AA567" s="13">
        <v>0</v>
      </c>
    </row>
    <row r="568" spans="24:27">
      <c r="X568">
        <f t="shared" si="33"/>
        <v>0</v>
      </c>
      <c r="Y568" s="4">
        <f ca="1"/>
        <v>0</v>
      </c>
      <c r="Z568" s="4">
        <v>6.6729385424638096E-39</v>
      </c>
      <c r="AA568" s="13">
        <v>0</v>
      </c>
    </row>
    <row r="569" spans="24:27">
      <c r="X569">
        <f t="shared" si="33"/>
        <v>0</v>
      </c>
      <c r="Y569" s="4">
        <f ca="1"/>
        <v>0</v>
      </c>
      <c r="Z569" s="4">
        <v>4.272826008143812E-39</v>
      </c>
      <c r="AA569" s="13">
        <v>0</v>
      </c>
    </row>
    <row r="570" spans="24:27">
      <c r="X570">
        <f t="shared" si="33"/>
        <v>0</v>
      </c>
      <c r="Y570" s="4">
        <f ca="1"/>
        <v>0</v>
      </c>
      <c r="Z570" s="4">
        <v>2.7311847291238107E-39</v>
      </c>
      <c r="AA570" s="13">
        <v>0</v>
      </c>
    </row>
    <row r="571" spans="24:27">
      <c r="X571">
        <f t="shared" si="33"/>
        <v>0</v>
      </c>
      <c r="Y571" s="4">
        <f ca="1"/>
        <v>0</v>
      </c>
      <c r="Z571" s="4">
        <v>1.7427082065402956E-39</v>
      </c>
      <c r="AA571" s="13">
        <v>0</v>
      </c>
    </row>
    <row r="572" spans="24:27">
      <c r="X572">
        <f t="shared" si="33"/>
        <v>0</v>
      </c>
      <c r="Y572" s="4">
        <f ca="1"/>
        <v>0</v>
      </c>
      <c r="Z572" s="4">
        <v>1.1100331829769998E-39</v>
      </c>
      <c r="AA572" s="13">
        <v>0</v>
      </c>
    </row>
    <row r="573" spans="24:27">
      <c r="X573">
        <f t="shared" si="33"/>
        <v>0</v>
      </c>
      <c r="Y573" s="4">
        <f ca="1"/>
        <v>0</v>
      </c>
      <c r="Z573" s="4">
        <v>7.0580524718232563E-40</v>
      </c>
      <c r="AA573" s="13">
        <v>0</v>
      </c>
    </row>
    <row r="574" spans="24:27">
      <c r="X574">
        <f t="shared" si="33"/>
        <v>0</v>
      </c>
      <c r="Y574" s="4">
        <f ca="1"/>
        <v>0</v>
      </c>
      <c r="Z574" s="4">
        <v>4.4799316842320604E-40</v>
      </c>
      <c r="AA574" s="13">
        <v>0</v>
      </c>
    </row>
    <row r="575" spans="24:27">
      <c r="X575">
        <f t="shared" si="33"/>
        <v>0</v>
      </c>
      <c r="Y575" s="4">
        <f ca="1"/>
        <v>0</v>
      </c>
      <c r="Z575" s="4">
        <v>2.838542753881415E-40</v>
      </c>
      <c r="AA575" s="13">
        <v>0</v>
      </c>
    </row>
    <row r="576" spans="24:27">
      <c r="X576">
        <f t="shared" si="33"/>
        <v>0</v>
      </c>
      <c r="Y576" s="4">
        <f ca="1"/>
        <v>0</v>
      </c>
      <c r="Z576" s="4">
        <v>1.7953824732235857E-40</v>
      </c>
      <c r="AA576" s="13">
        <v>0</v>
      </c>
    </row>
    <row r="577" spans="24:27">
      <c r="X577">
        <f t="shared" si="33"/>
        <v>0</v>
      </c>
      <c r="Y577" s="4">
        <f ca="1"/>
        <v>0</v>
      </c>
      <c r="Z577" s="4">
        <v>1.1335899022493009E-40</v>
      </c>
      <c r="AA577" s="13">
        <v>0</v>
      </c>
    </row>
    <row r="578" spans="24:27">
      <c r="X578">
        <f t="shared" si="33"/>
        <v>0</v>
      </c>
      <c r="Y578" s="4">
        <f ca="1"/>
        <v>0</v>
      </c>
      <c r="Z578" s="4">
        <v>7.1448375055483282E-41</v>
      </c>
      <c r="AA578" s="13">
        <v>0</v>
      </c>
    </row>
    <row r="579" spans="24:27">
      <c r="X579">
        <f t="shared" si="33"/>
        <v>0</v>
      </c>
      <c r="Y579" s="4">
        <f ca="1"/>
        <v>0</v>
      </c>
      <c r="Z579" s="4">
        <v>4.4953767797205431E-41</v>
      </c>
      <c r="AA579" s="13">
        <v>0</v>
      </c>
    </row>
    <row r="580" spans="24:27">
      <c r="X580">
        <f t="shared" si="33"/>
        <v>0</v>
      </c>
      <c r="Y580" s="4">
        <f ca="1"/>
        <v>0</v>
      </c>
      <c r="Z580" s="4">
        <v>2.8234308069661556E-41</v>
      </c>
      <c r="AA580" s="13">
        <v>0</v>
      </c>
    </row>
    <row r="581" spans="24:27">
      <c r="X581">
        <f t="shared" ref="X581:X644" si="34">W581*$C$21</f>
        <v>0</v>
      </c>
      <c r="Y581" s="4">
        <f ca="1"/>
        <v>0</v>
      </c>
      <c r="Z581" s="4">
        <v>1.7702127514897416E-41</v>
      </c>
      <c r="AA581" s="13">
        <v>0</v>
      </c>
    </row>
    <row r="582" spans="24:27">
      <c r="X582">
        <f t="shared" si="34"/>
        <v>0</v>
      </c>
      <c r="Y582" s="4">
        <f ca="1"/>
        <v>0</v>
      </c>
      <c r="Z582" s="4">
        <v>1.1079266296402732E-41</v>
      </c>
      <c r="AA582" s="13">
        <v>0</v>
      </c>
    </row>
    <row r="583" spans="24:27">
      <c r="X583">
        <f t="shared" si="34"/>
        <v>0</v>
      </c>
      <c r="Y583" s="4">
        <f ca="1"/>
        <v>0</v>
      </c>
      <c r="Z583" s="4">
        <v>6.9220337742688338E-42</v>
      </c>
      <c r="AA583" s="13">
        <v>0</v>
      </c>
    </row>
    <row r="584" spans="24:27">
      <c r="X584">
        <f t="shared" si="34"/>
        <v>0</v>
      </c>
      <c r="Y584" s="4">
        <f ca="1"/>
        <v>0</v>
      </c>
      <c r="Z584" s="4">
        <v>4.317114432541841E-42</v>
      </c>
      <c r="AA584" s="13">
        <v>0</v>
      </c>
    </row>
    <row r="585" spans="24:27">
      <c r="X585">
        <f t="shared" si="34"/>
        <v>0</v>
      </c>
      <c r="Y585" s="4">
        <f ca="1"/>
        <v>0</v>
      </c>
      <c r="Z585" s="4">
        <v>2.6877600712356998E-42</v>
      </c>
      <c r="AA585" s="13">
        <v>0</v>
      </c>
    </row>
    <row r="586" spans="24:27">
      <c r="X586">
        <f t="shared" si="34"/>
        <v>0</v>
      </c>
      <c r="Y586" s="4">
        <f ca="1"/>
        <v>0</v>
      </c>
      <c r="Z586" s="4">
        <v>1.6704153941453333E-42</v>
      </c>
      <c r="AA586" s="13">
        <v>0</v>
      </c>
    </row>
    <row r="587" spans="24:27">
      <c r="X587">
        <f t="shared" si="34"/>
        <v>0</v>
      </c>
      <c r="Y587" s="4">
        <f ca="1"/>
        <v>0</v>
      </c>
      <c r="Z587" s="4">
        <v>1.03632380944961E-42</v>
      </c>
      <c r="AA587" s="13">
        <v>0</v>
      </c>
    </row>
    <row r="588" spans="24:27">
      <c r="X588">
        <f t="shared" si="34"/>
        <v>0</v>
      </c>
      <c r="Y588" s="4">
        <f ca="1"/>
        <v>0</v>
      </c>
      <c r="Z588" s="4">
        <v>6.4180549898521322E-43</v>
      </c>
      <c r="AA588" s="13">
        <v>0</v>
      </c>
    </row>
    <row r="589" spans="24:27">
      <c r="X589">
        <f t="shared" si="34"/>
        <v>0</v>
      </c>
      <c r="Y589" s="4">
        <f ca="1"/>
        <v>0</v>
      </c>
      <c r="Z589" s="4">
        <v>3.9677866849474327E-43</v>
      </c>
      <c r="AA589" s="13">
        <v>0</v>
      </c>
    </row>
    <row r="590" spans="24:27">
      <c r="X590">
        <f t="shared" si="34"/>
        <v>0</v>
      </c>
      <c r="Y590" s="4">
        <f ca="1"/>
        <v>0</v>
      </c>
      <c r="Z590" s="4">
        <v>2.4486689893320256E-43</v>
      </c>
      <c r="AA590" s="13">
        <v>0</v>
      </c>
    </row>
    <row r="591" spans="24:27">
      <c r="X591">
        <f t="shared" si="34"/>
        <v>0</v>
      </c>
      <c r="Y591" s="4">
        <f ca="1"/>
        <v>0</v>
      </c>
      <c r="Z591" s="4">
        <v>1.5085117257258246E-43</v>
      </c>
      <c r="AA591" s="13">
        <v>0</v>
      </c>
    </row>
    <row r="592" spans="24:27">
      <c r="X592">
        <f t="shared" si="34"/>
        <v>0</v>
      </c>
      <c r="Y592" s="4">
        <f ca="1"/>
        <v>0</v>
      </c>
      <c r="Z592" s="4">
        <v>9.2769262320820209E-44</v>
      </c>
      <c r="AA592" s="13">
        <v>0</v>
      </c>
    </row>
    <row r="593" spans="24:27">
      <c r="X593">
        <f t="shared" si="34"/>
        <v>0</v>
      </c>
      <c r="Y593" s="4">
        <f ca="1"/>
        <v>0</v>
      </c>
      <c r="Z593" s="4">
        <v>5.695033467508496E-44</v>
      </c>
      <c r="AA593" s="13">
        <v>0</v>
      </c>
    </row>
    <row r="594" spans="24:27">
      <c r="X594">
        <f t="shared" si="34"/>
        <v>0</v>
      </c>
      <c r="Y594" s="4">
        <f ca="1"/>
        <v>0</v>
      </c>
      <c r="Z594" s="4">
        <v>3.4899980444440197E-44</v>
      </c>
      <c r="AA594" s="13">
        <v>0</v>
      </c>
    </row>
    <row r="595" spans="24:27">
      <c r="X595">
        <f t="shared" si="34"/>
        <v>0</v>
      </c>
      <c r="Y595" s="4">
        <f ca="1"/>
        <v>0</v>
      </c>
      <c r="Z595" s="4">
        <v>2.13496506884852E-44</v>
      </c>
      <c r="AA595" s="13">
        <v>0</v>
      </c>
    </row>
    <row r="596" spans="24:27">
      <c r="X596">
        <f t="shared" si="34"/>
        <v>0</v>
      </c>
      <c r="Y596" s="4">
        <f ca="1"/>
        <v>0</v>
      </c>
      <c r="Z596" s="4">
        <v>1.3037460716298242E-44</v>
      </c>
      <c r="AA596" s="13">
        <v>0</v>
      </c>
    </row>
    <row r="597" spans="24:27">
      <c r="X597">
        <f t="shared" si="34"/>
        <v>0</v>
      </c>
      <c r="Y597" s="4">
        <f ca="1"/>
        <v>0</v>
      </c>
      <c r="Z597" s="4">
        <v>7.9475242778040648E-45</v>
      </c>
      <c r="AA597" s="13">
        <v>0</v>
      </c>
    </row>
    <row r="598" spans="24:27">
      <c r="X598">
        <f t="shared" si="34"/>
        <v>0</v>
      </c>
      <c r="Y598" s="4">
        <f ca="1"/>
        <v>0</v>
      </c>
      <c r="Z598" s="4">
        <v>4.8362337961501075E-45</v>
      </c>
      <c r="AA598" s="13">
        <v>0</v>
      </c>
    </row>
    <row r="599" spans="24:27">
      <c r="X599">
        <f t="shared" si="34"/>
        <v>0</v>
      </c>
      <c r="Y599" s="4">
        <f ca="1"/>
        <v>0</v>
      </c>
      <c r="Z599" s="4">
        <v>2.9377798587024732E-45</v>
      </c>
      <c r="AA599" s="13">
        <v>0</v>
      </c>
    </row>
    <row r="600" spans="24:27">
      <c r="X600">
        <f t="shared" si="34"/>
        <v>0</v>
      </c>
      <c r="Y600" s="4">
        <f ca="1"/>
        <v>0</v>
      </c>
      <c r="Z600" s="4">
        <v>1.7814256891996662E-45</v>
      </c>
      <c r="AA600" s="13">
        <v>0</v>
      </c>
    </row>
    <row r="601" spans="24:27">
      <c r="X601">
        <f t="shared" si="34"/>
        <v>0</v>
      </c>
      <c r="Y601" s="4">
        <f ca="1"/>
        <v>0</v>
      </c>
      <c r="Z601" s="4">
        <v>1.0783323564113301E-45</v>
      </c>
      <c r="AA601" s="13">
        <v>0</v>
      </c>
    </row>
    <row r="602" spans="24:27">
      <c r="X602">
        <f t="shared" si="34"/>
        <v>0</v>
      </c>
      <c r="Y602" s="4">
        <f ca="1"/>
        <v>0</v>
      </c>
      <c r="Z602" s="4">
        <v>6.5158937091091597E-46</v>
      </c>
      <c r="AA602" s="13">
        <v>0</v>
      </c>
    </row>
    <row r="603" spans="24:27">
      <c r="X603">
        <f t="shared" si="34"/>
        <v>0</v>
      </c>
      <c r="Y603" s="4">
        <f ca="1"/>
        <v>0</v>
      </c>
      <c r="Z603" s="4">
        <v>3.93035463597111E-46</v>
      </c>
      <c r="AA603" s="13">
        <v>0</v>
      </c>
    </row>
    <row r="604" spans="24:27">
      <c r="X604">
        <f t="shared" si="34"/>
        <v>0</v>
      </c>
      <c r="Y604" s="4">
        <f ca="1"/>
        <v>0</v>
      </c>
      <c r="Z604" s="4">
        <v>2.3666053590109677E-46</v>
      </c>
      <c r="AA604" s="13">
        <v>0</v>
      </c>
    </row>
    <row r="605" spans="24:27">
      <c r="X605">
        <f t="shared" si="34"/>
        <v>0</v>
      </c>
      <c r="Y605" s="4">
        <f ca="1"/>
        <v>0</v>
      </c>
      <c r="Z605" s="4">
        <v>1.4225130906230019E-46</v>
      </c>
      <c r="AA605" s="13">
        <v>0</v>
      </c>
    </row>
    <row r="606" spans="24:27">
      <c r="X606">
        <f t="shared" si="34"/>
        <v>0</v>
      </c>
      <c r="Y606" s="4">
        <f ca="1"/>
        <v>0</v>
      </c>
      <c r="Z606" s="4">
        <v>8.5353825028860506E-47</v>
      </c>
      <c r="AA606" s="13">
        <v>0</v>
      </c>
    </row>
    <row r="607" spans="24:27">
      <c r="X607">
        <f t="shared" si="34"/>
        <v>0</v>
      </c>
      <c r="Y607" s="4">
        <f ca="1"/>
        <v>0</v>
      </c>
      <c r="Z607" s="4">
        <v>5.112413339319443E-47</v>
      </c>
      <c r="AA607" s="13">
        <v>0</v>
      </c>
    </row>
    <row r="608" spans="24:27">
      <c r="X608">
        <f t="shared" si="34"/>
        <v>0</v>
      </c>
      <c r="Y608" s="4">
        <f ca="1"/>
        <v>0</v>
      </c>
      <c r="Z608" s="4">
        <v>3.0567868128250022E-47</v>
      </c>
      <c r="AA608" s="13">
        <v>0</v>
      </c>
    </row>
    <row r="609" spans="24:27">
      <c r="X609">
        <f t="shared" si="34"/>
        <v>0</v>
      </c>
      <c r="Y609" s="4">
        <f ca="1"/>
        <v>0</v>
      </c>
      <c r="Z609" s="4">
        <v>1.8244859788349725E-47</v>
      </c>
      <c r="AA609" s="13">
        <v>0</v>
      </c>
    </row>
    <row r="610" spans="24:27">
      <c r="X610">
        <f t="shared" si="34"/>
        <v>0</v>
      </c>
      <c r="Y610" s="4">
        <f ca="1"/>
        <v>0</v>
      </c>
      <c r="Z610" s="4">
        <v>1.0870563652781125E-47</v>
      </c>
      <c r="AA610" s="13">
        <v>0</v>
      </c>
    </row>
    <row r="611" spans="24:27">
      <c r="X611">
        <f t="shared" si="34"/>
        <v>0</v>
      </c>
      <c r="Y611" s="4">
        <f ca="1"/>
        <v>0</v>
      </c>
      <c r="Z611" s="4">
        <v>6.465464300304944E-48</v>
      </c>
      <c r="AA611" s="13">
        <v>0</v>
      </c>
    </row>
    <row r="612" spans="24:27">
      <c r="X612">
        <f t="shared" si="34"/>
        <v>0</v>
      </c>
      <c r="Y612" s="4">
        <f ca="1"/>
        <v>0</v>
      </c>
      <c r="Z612" s="4">
        <v>3.8386937152303313E-48</v>
      </c>
      <c r="AA612" s="13">
        <v>0</v>
      </c>
    </row>
    <row r="613" spans="24:27">
      <c r="X613">
        <f t="shared" si="34"/>
        <v>0</v>
      </c>
      <c r="Y613" s="4">
        <f ca="1"/>
        <v>0</v>
      </c>
      <c r="Z613" s="4">
        <v>2.2751145196893408E-48</v>
      </c>
      <c r="AA613" s="13">
        <v>0</v>
      </c>
    </row>
    <row r="614" spans="24:27">
      <c r="X614">
        <f t="shared" si="34"/>
        <v>0</v>
      </c>
      <c r="Y614" s="4">
        <f ca="1"/>
        <v>0</v>
      </c>
      <c r="Z614" s="4">
        <v>1.3460434762993768E-48</v>
      </c>
      <c r="AA614" s="13">
        <v>0</v>
      </c>
    </row>
    <row r="615" spans="24:27">
      <c r="X615">
        <f t="shared" si="34"/>
        <v>0</v>
      </c>
      <c r="Y615" s="4">
        <f ca="1"/>
        <v>0</v>
      </c>
      <c r="Z615" s="4">
        <v>7.949703049102715E-49</v>
      </c>
      <c r="AA615" s="13">
        <v>0</v>
      </c>
    </row>
    <row r="616" spans="24:27">
      <c r="X616">
        <f t="shared" si="34"/>
        <v>0</v>
      </c>
      <c r="Y616" s="4">
        <f ca="1"/>
        <v>0</v>
      </c>
      <c r="Z616" s="4">
        <v>4.68682445829462E-49</v>
      </c>
      <c r="AA616" s="13">
        <v>0</v>
      </c>
    </row>
    <row r="617" spans="24:27">
      <c r="X617">
        <f t="shared" si="34"/>
        <v>0</v>
      </c>
      <c r="Y617" s="4">
        <f ca="1"/>
        <v>0</v>
      </c>
      <c r="Z617" s="4">
        <v>2.7583057208038834E-49</v>
      </c>
      <c r="AA617" s="13">
        <v>0</v>
      </c>
    </row>
    <row r="618" spans="24:27">
      <c r="X618">
        <f t="shared" si="34"/>
        <v>0</v>
      </c>
      <c r="Y618" s="4">
        <f ca="1"/>
        <v>0</v>
      </c>
      <c r="Z618" s="4">
        <v>1.6204737989833023E-49</v>
      </c>
      <c r="AA618" s="13">
        <v>0</v>
      </c>
    </row>
    <row r="619" spans="24:27">
      <c r="X619">
        <f t="shared" si="34"/>
        <v>0</v>
      </c>
      <c r="Y619" s="4">
        <f ca="1"/>
        <v>0</v>
      </c>
      <c r="Z619" s="4">
        <v>9.5033669120027571E-50</v>
      </c>
      <c r="AA619" s="13">
        <v>0</v>
      </c>
    </row>
    <row r="620" spans="24:27">
      <c r="X620">
        <f t="shared" si="34"/>
        <v>0</v>
      </c>
      <c r="Y620" s="4">
        <f ca="1"/>
        <v>0</v>
      </c>
      <c r="Z620" s="4">
        <v>5.5635093357718972E-50</v>
      </c>
      <c r="AA620" s="13">
        <v>0</v>
      </c>
    </row>
    <row r="621" spans="24:27">
      <c r="X621">
        <f t="shared" si="34"/>
        <v>0</v>
      </c>
      <c r="Y621" s="4">
        <f ca="1"/>
        <v>0</v>
      </c>
      <c r="Z621" s="4">
        <v>3.2512918530766002E-50</v>
      </c>
      <c r="AA621" s="13">
        <v>0</v>
      </c>
    </row>
    <row r="622" spans="24:27">
      <c r="X622">
        <f t="shared" si="34"/>
        <v>0</v>
      </c>
      <c r="Y622" s="4">
        <f ca="1"/>
        <v>0</v>
      </c>
      <c r="Z622" s="4">
        <v>1.8967009931645262E-50</v>
      </c>
      <c r="AA622" s="13">
        <v>0</v>
      </c>
    </row>
    <row r="623" spans="24:27">
      <c r="X623">
        <f t="shared" si="34"/>
        <v>0</v>
      </c>
      <c r="Y623" s="4">
        <f ca="1"/>
        <v>0</v>
      </c>
      <c r="Z623" s="4">
        <v>1.1045300589486413E-50</v>
      </c>
      <c r="AA623" s="13">
        <v>0</v>
      </c>
    </row>
    <row r="624" spans="24:27">
      <c r="X624">
        <f t="shared" si="34"/>
        <v>0</v>
      </c>
      <c r="Y624" s="4">
        <f ca="1"/>
        <v>0</v>
      </c>
      <c r="Z624" s="4">
        <v>6.4208412156106803E-51</v>
      </c>
      <c r="AA624" s="13">
        <v>0</v>
      </c>
    </row>
    <row r="625" spans="24:27">
      <c r="X625">
        <f t="shared" si="34"/>
        <v>0</v>
      </c>
      <c r="Y625" s="4">
        <f ca="1"/>
        <v>0</v>
      </c>
      <c r="Z625" s="4">
        <v>3.7259928341382278E-51</v>
      </c>
      <c r="AA625" s="13">
        <v>0</v>
      </c>
    </row>
    <row r="626" spans="24:27">
      <c r="X626">
        <f t="shared" si="34"/>
        <v>0</v>
      </c>
      <c r="Y626" s="4">
        <f ca="1"/>
        <v>0</v>
      </c>
      <c r="Z626" s="4">
        <v>2.1583792963426971E-51</v>
      </c>
      <c r="AA626" s="13">
        <v>0</v>
      </c>
    </row>
    <row r="627" spans="24:27">
      <c r="X627">
        <f t="shared" si="34"/>
        <v>0</v>
      </c>
      <c r="Y627" s="4">
        <f ca="1"/>
        <v>0</v>
      </c>
      <c r="Z627" s="4">
        <v>1.2480993458320921E-51</v>
      </c>
      <c r="AA627" s="13">
        <v>0</v>
      </c>
    </row>
    <row r="628" spans="24:27">
      <c r="X628">
        <f t="shared" si="34"/>
        <v>0</v>
      </c>
      <c r="Y628" s="4">
        <f ca="1"/>
        <v>0</v>
      </c>
      <c r="Z628" s="4">
        <v>7.204538303483119E-52</v>
      </c>
      <c r="AA628" s="13">
        <v>0</v>
      </c>
    </row>
    <row r="629" spans="24:27">
      <c r="X629">
        <f t="shared" si="34"/>
        <v>0</v>
      </c>
      <c r="Y629" s="4">
        <f ca="1"/>
        <v>0</v>
      </c>
      <c r="Z629" s="4">
        <v>4.1514397196408626E-52</v>
      </c>
      <c r="AA629" s="13">
        <v>0</v>
      </c>
    </row>
    <row r="630" spans="24:27">
      <c r="X630">
        <f t="shared" si="34"/>
        <v>0</v>
      </c>
      <c r="Y630" s="4">
        <f ca="1"/>
        <v>0</v>
      </c>
      <c r="Z630" s="4">
        <v>2.3879590380260732E-52</v>
      </c>
      <c r="AA630" s="13">
        <v>0</v>
      </c>
    </row>
    <row r="631" spans="24:27">
      <c r="X631">
        <f t="shared" si="34"/>
        <v>0</v>
      </c>
      <c r="Y631" s="4">
        <f ca="1"/>
        <v>0</v>
      </c>
      <c r="Z631" s="4">
        <v>1.3711675839845742E-52</v>
      </c>
      <c r="AA631" s="13">
        <v>0</v>
      </c>
    </row>
    <row r="632" spans="24:27">
      <c r="X632">
        <f t="shared" si="34"/>
        <v>0</v>
      </c>
      <c r="Y632" s="4">
        <f ca="1"/>
        <v>0</v>
      </c>
      <c r="Z632" s="4">
        <v>7.8594056235908775E-53</v>
      </c>
      <c r="AA632" s="13">
        <v>0</v>
      </c>
    </row>
    <row r="633" spans="24:27">
      <c r="X633">
        <f t="shared" si="34"/>
        <v>0</v>
      </c>
      <c r="Y633" s="4">
        <f ca="1"/>
        <v>0</v>
      </c>
      <c r="Z633" s="4">
        <v>4.4970150773054354E-53</v>
      </c>
      <c r="AA633" s="13">
        <v>0</v>
      </c>
    </row>
    <row r="634" spans="24:27">
      <c r="X634">
        <f t="shared" si="34"/>
        <v>0</v>
      </c>
      <c r="Y634" s="4">
        <f ca="1"/>
        <v>0</v>
      </c>
      <c r="Z634" s="4">
        <v>2.5685878992334796E-53</v>
      </c>
      <c r="AA634" s="13">
        <v>0</v>
      </c>
    </row>
    <row r="635" spans="24:27">
      <c r="X635">
        <f t="shared" si="34"/>
        <v>0</v>
      </c>
      <c r="Y635" s="4">
        <f ca="1"/>
        <v>0</v>
      </c>
      <c r="Z635" s="4">
        <v>1.4645356335045565E-53</v>
      </c>
      <c r="AA635" s="13">
        <v>0</v>
      </c>
    </row>
    <row r="636" spans="24:27">
      <c r="X636">
        <f t="shared" si="34"/>
        <v>0</v>
      </c>
      <c r="Y636" s="4">
        <f ca="1"/>
        <v>0</v>
      </c>
      <c r="Z636" s="4">
        <v>8.3356764644315191E-54</v>
      </c>
      <c r="AA636" s="13">
        <v>0</v>
      </c>
    </row>
    <row r="637" spans="24:27">
      <c r="X637">
        <f t="shared" si="34"/>
        <v>0</v>
      </c>
      <c r="Y637" s="4">
        <f ca="1"/>
        <v>0</v>
      </c>
      <c r="Z637" s="4">
        <v>4.7360592546017986E-54</v>
      </c>
      <c r="AA637" s="13">
        <v>0</v>
      </c>
    </row>
    <row r="638" spans="24:27">
      <c r="X638">
        <f t="shared" si="34"/>
        <v>0</v>
      </c>
      <c r="Y638" s="4">
        <f ca="1"/>
        <v>0</v>
      </c>
      <c r="Z638" s="4">
        <v>2.6861406554241086E-54</v>
      </c>
      <c r="AA638" s="13">
        <v>0</v>
      </c>
    </row>
    <row r="639" spans="24:27">
      <c r="X639">
        <f t="shared" si="34"/>
        <v>0</v>
      </c>
      <c r="Y639" s="4">
        <f ca="1"/>
        <v>0</v>
      </c>
      <c r="Z639" s="4">
        <v>1.5208125675110194E-54</v>
      </c>
      <c r="AA639" s="13">
        <v>0</v>
      </c>
    </row>
    <row r="640" spans="24:27">
      <c r="X640">
        <f t="shared" si="34"/>
        <v>0</v>
      </c>
      <c r="Y640" s="4">
        <f ca="1"/>
        <v>0</v>
      </c>
      <c r="Z640" s="4">
        <v>8.5952384705036544E-55</v>
      </c>
      <c r="AA640" s="13">
        <v>0</v>
      </c>
    </row>
    <row r="641" spans="24:27">
      <c r="X641">
        <f t="shared" si="34"/>
        <v>0</v>
      </c>
      <c r="Y641" s="4">
        <f ca="1"/>
        <v>0</v>
      </c>
      <c r="Z641" s="4">
        <v>4.8492596476437662E-55</v>
      </c>
      <c r="AA641" s="13">
        <v>0</v>
      </c>
    </row>
    <row r="642" spans="24:27">
      <c r="X642">
        <f t="shared" si="34"/>
        <v>0</v>
      </c>
      <c r="Y642" s="4">
        <f ca="1"/>
        <v>0</v>
      </c>
      <c r="Z642" s="4">
        <v>2.7310408255406288E-55</v>
      </c>
      <c r="AA642" s="13">
        <v>0</v>
      </c>
    </row>
    <row r="643" spans="24:27">
      <c r="X643">
        <f t="shared" si="34"/>
        <v>0</v>
      </c>
      <c r="Y643" s="4">
        <f ca="1"/>
        <v>0</v>
      </c>
      <c r="Z643" s="4">
        <v>1.5353810199972663E-55</v>
      </c>
      <c r="AA643" s="13">
        <v>0</v>
      </c>
    </row>
    <row r="644" spans="24:27">
      <c r="X644">
        <f t="shared" si="34"/>
        <v>0</v>
      </c>
      <c r="Y644" s="4">
        <f ca="1"/>
        <v>0</v>
      </c>
      <c r="Z644" s="4">
        <v>8.6166676132113534E-56</v>
      </c>
      <c r="AA644" s="13">
        <v>0</v>
      </c>
    </row>
    <row r="645" spans="24:27">
      <c r="X645">
        <f t="shared" ref="X645:X708" si="35">W645*$C$21</f>
        <v>0</v>
      </c>
      <c r="Y645" s="4">
        <f ca="1"/>
        <v>0</v>
      </c>
      <c r="Z645" s="4">
        <v>4.8272266083748138E-56</v>
      </c>
      <c r="AA645" s="13">
        <v>0</v>
      </c>
    </row>
    <row r="646" spans="24:27">
      <c r="X646">
        <f t="shared" si="35"/>
        <v>0</v>
      </c>
      <c r="Y646" s="4">
        <f ca="1"/>
        <v>0</v>
      </c>
      <c r="Z646" s="4">
        <v>2.6995488017968495E-56</v>
      </c>
      <c r="AA646" s="13">
        <v>0</v>
      </c>
    </row>
    <row r="647" spans="24:27">
      <c r="X647">
        <f t="shared" si="35"/>
        <v>0</v>
      </c>
      <c r="Y647" s="4">
        <f ca="1"/>
        <v>0</v>
      </c>
      <c r="Z647" s="4">
        <v>1.5070227401310287E-56</v>
      </c>
      <c r="AA647" s="13">
        <v>0</v>
      </c>
    </row>
    <row r="648" spans="24:27">
      <c r="X648">
        <f t="shared" si="35"/>
        <v>0</v>
      </c>
      <c r="Y648" s="4">
        <f ca="1"/>
        <v>0</v>
      </c>
      <c r="Z648" s="4">
        <v>8.3981481470508525E-57</v>
      </c>
      <c r="AA648" s="13">
        <v>0</v>
      </c>
    </row>
    <row r="649" spans="24:27">
      <c r="X649">
        <f t="shared" si="35"/>
        <v>0</v>
      </c>
      <c r="Y649" s="4">
        <f ca="1"/>
        <v>0</v>
      </c>
      <c r="Z649" s="4">
        <v>4.6717795102667166E-57</v>
      </c>
      <c r="AA649" s="13">
        <v>0</v>
      </c>
    </row>
    <row r="650" spans="24:27">
      <c r="X650">
        <f t="shared" si="35"/>
        <v>0</v>
      </c>
      <c r="Y650" s="4">
        <f ca="1"/>
        <v>0</v>
      </c>
      <c r="Z650" s="4">
        <v>2.594276137640531E-57</v>
      </c>
      <c r="AA650" s="13">
        <v>0</v>
      </c>
    </row>
    <row r="651" spans="24:27">
      <c r="X651">
        <f t="shared" si="35"/>
        <v>0</v>
      </c>
      <c r="Y651" s="4">
        <f ca="1"/>
        <v>0</v>
      </c>
      <c r="Z651" s="4">
        <v>1.4380867971488684E-57</v>
      </c>
      <c r="AA651" s="13">
        <v>0</v>
      </c>
    </row>
    <row r="652" spans="24:27">
      <c r="X652">
        <f t="shared" si="35"/>
        <v>0</v>
      </c>
      <c r="Y652" s="4">
        <f ca="1"/>
        <v>0</v>
      </c>
      <c r="Z652" s="4">
        <v>7.957726513449647E-58</v>
      </c>
      <c r="AA652" s="13">
        <v>0</v>
      </c>
    </row>
    <row r="653" spans="24:27">
      <c r="X653">
        <f t="shared" si="35"/>
        <v>0</v>
      </c>
      <c r="Y653" s="4">
        <f ca="1"/>
        <v>0</v>
      </c>
      <c r="Z653" s="4">
        <v>4.3956986342411472E-58</v>
      </c>
      <c r="AA653" s="13">
        <v>0</v>
      </c>
    </row>
    <row r="654" spans="24:27">
      <c r="X654">
        <f t="shared" si="35"/>
        <v>0</v>
      </c>
      <c r="Y654" s="4">
        <f ca="1"/>
        <v>0</v>
      </c>
      <c r="Z654" s="4">
        <v>2.423827888886781E-58</v>
      </c>
      <c r="AA654" s="13">
        <v>0</v>
      </c>
    </row>
    <row r="655" spans="24:27">
      <c r="X655">
        <f t="shared" si="35"/>
        <v>0</v>
      </c>
      <c r="Y655" s="4">
        <f ca="1"/>
        <v>0</v>
      </c>
      <c r="Z655" s="4">
        <v>1.3341682235127291E-58</v>
      </c>
      <c r="AA655" s="13">
        <v>0</v>
      </c>
    </row>
    <row r="656" spans="24:27">
      <c r="X656">
        <f t="shared" si="35"/>
        <v>0</v>
      </c>
      <c r="Y656" s="4">
        <f ca="1"/>
        <v>0</v>
      </c>
      <c r="Z656" s="4">
        <v>7.3308499697381101E-59</v>
      </c>
      <c r="AA656" s="13">
        <v>0</v>
      </c>
    </row>
    <row r="657" spans="24:27">
      <c r="X657">
        <f t="shared" si="35"/>
        <v>0</v>
      </c>
      <c r="Y657" s="4">
        <f ca="1"/>
        <v>0</v>
      </c>
      <c r="Z657" s="4">
        <v>4.0209898169418212E-59</v>
      </c>
      <c r="AA657" s="13">
        <v>0</v>
      </c>
    </row>
    <row r="658" spans="24:27">
      <c r="X658">
        <f t="shared" si="35"/>
        <v>0</v>
      </c>
      <c r="Y658" s="4">
        <f ca="1"/>
        <v>0</v>
      </c>
      <c r="Z658" s="4">
        <v>2.2016409613202631E-59</v>
      </c>
      <c r="AA658" s="13">
        <v>0</v>
      </c>
    </row>
    <row r="659" spans="24:27">
      <c r="X659">
        <f t="shared" si="35"/>
        <v>0</v>
      </c>
      <c r="Y659" s="4">
        <f ca="1"/>
        <v>0</v>
      </c>
      <c r="Z659" s="4">
        <v>1.2033580857892718E-59</v>
      </c>
      <c r="AA659" s="13">
        <v>0</v>
      </c>
    </row>
    <row r="660" spans="24:27">
      <c r="X660">
        <f t="shared" si="35"/>
        <v>0</v>
      </c>
      <c r="Y660" s="4">
        <f ca="1"/>
        <v>0</v>
      </c>
      <c r="Z660" s="4">
        <v>6.5656556862475643E-60</v>
      </c>
      <c r="AA660" s="13">
        <v>0</v>
      </c>
    </row>
    <row r="661" spans="24:27">
      <c r="X661">
        <f t="shared" si="35"/>
        <v>0</v>
      </c>
      <c r="Y661" s="4">
        <f ca="1"/>
        <v>0</v>
      </c>
      <c r="Z661" s="4">
        <v>3.575988767905705E-60</v>
      </c>
      <c r="AA661" s="13">
        <v>0</v>
      </c>
    </row>
    <row r="662" spans="24:27">
      <c r="X662">
        <f t="shared" si="35"/>
        <v>0</v>
      </c>
      <c r="Y662" s="4">
        <f ca="1"/>
        <v>0</v>
      </c>
      <c r="Z662" s="4">
        <v>1.9442360265819579E-60</v>
      </c>
      <c r="AA662" s="13">
        <v>0</v>
      </c>
    </row>
    <row r="663" spans="24:27">
      <c r="X663">
        <f t="shared" si="35"/>
        <v>0</v>
      </c>
      <c r="Y663" s="4">
        <f ca="1"/>
        <v>0</v>
      </c>
      <c r="Z663" s="4">
        <v>1.0552044264703323E-60</v>
      </c>
      <c r="AA663" s="13">
        <v>0</v>
      </c>
    </row>
    <row r="664" spans="24:27">
      <c r="X664">
        <f t="shared" si="35"/>
        <v>0</v>
      </c>
      <c r="Y664" s="4">
        <f ca="1"/>
        <v>0</v>
      </c>
      <c r="Z664" s="4">
        <v>5.7168787313272769E-61</v>
      </c>
      <c r="AA664" s="13">
        <v>0</v>
      </c>
    </row>
    <row r="665" spans="24:27">
      <c r="X665">
        <f t="shared" si="35"/>
        <v>0</v>
      </c>
      <c r="Y665" s="4">
        <f ca="1"/>
        <v>0</v>
      </c>
      <c r="Z665" s="4">
        <v>3.091833459897215E-61</v>
      </c>
      <c r="AA665" s="13">
        <v>0</v>
      </c>
    </row>
    <row r="666" spans="24:27">
      <c r="X666">
        <f t="shared" si="35"/>
        <v>0</v>
      </c>
      <c r="Y666" s="4">
        <f ca="1"/>
        <v>0</v>
      </c>
      <c r="Z666" s="4">
        <v>1.6691982596443774E-61</v>
      </c>
      <c r="AA666" s="13">
        <v>0</v>
      </c>
    </row>
    <row r="667" spans="24:27">
      <c r="X667">
        <f t="shared" si="35"/>
        <v>0</v>
      </c>
      <c r="Y667" s="4">
        <f ca="1"/>
        <v>0</v>
      </c>
      <c r="Z667" s="4">
        <v>8.995689390273175E-62</v>
      </c>
      <c r="AA667" s="13">
        <v>0</v>
      </c>
    </row>
    <row r="668" spans="24:27">
      <c r="X668">
        <f t="shared" si="35"/>
        <v>0</v>
      </c>
      <c r="Y668" s="4">
        <f ca="1"/>
        <v>0</v>
      </c>
      <c r="Z668" s="4">
        <v>4.8394461054181764E-62</v>
      </c>
      <c r="AA668" s="13">
        <v>0</v>
      </c>
    </row>
    <row r="669" spans="24:27">
      <c r="X669">
        <f t="shared" si="35"/>
        <v>0</v>
      </c>
      <c r="Y669" s="4">
        <f ca="1"/>
        <v>0</v>
      </c>
      <c r="Z669" s="4">
        <v>2.5989116908016204E-62</v>
      </c>
      <c r="AA669" s="13">
        <v>0</v>
      </c>
    </row>
    <row r="670" spans="24:27">
      <c r="X670">
        <f t="shared" si="35"/>
        <v>0</v>
      </c>
      <c r="Y670" s="4">
        <f ca="1"/>
        <v>0</v>
      </c>
      <c r="Z670" s="4">
        <v>1.3932274650637565E-62</v>
      </c>
      <c r="AA670" s="13">
        <v>0</v>
      </c>
    </row>
    <row r="671" spans="24:27">
      <c r="X671">
        <f t="shared" si="35"/>
        <v>0</v>
      </c>
      <c r="Y671" s="4">
        <f ca="1"/>
        <v>0</v>
      </c>
      <c r="Z671" s="4">
        <v>7.4556781528324342E-63</v>
      </c>
      <c r="AA671" s="13">
        <v>0</v>
      </c>
    </row>
    <row r="672" spans="24:27">
      <c r="X672">
        <f t="shared" si="35"/>
        <v>0</v>
      </c>
      <c r="Y672" s="4">
        <f ca="1"/>
        <v>0</v>
      </c>
      <c r="Z672" s="4">
        <v>3.9827851427594264E-63</v>
      </c>
      <c r="AA672" s="13">
        <v>0</v>
      </c>
    </row>
    <row r="673" spans="24:27">
      <c r="X673">
        <f t="shared" si="35"/>
        <v>0</v>
      </c>
      <c r="Y673" s="4">
        <f ca="1"/>
        <v>0</v>
      </c>
      <c r="Z673" s="4">
        <v>2.1238370233948292E-63</v>
      </c>
      <c r="AA673" s="13">
        <v>0</v>
      </c>
    </row>
    <row r="674" spans="24:27">
      <c r="X674">
        <f t="shared" si="35"/>
        <v>0</v>
      </c>
      <c r="Y674" s="4">
        <f ca="1"/>
        <v>0</v>
      </c>
      <c r="Z674" s="4">
        <v>1.1305507441304605E-63</v>
      </c>
      <c r="AA674" s="13">
        <v>0</v>
      </c>
    </row>
    <row r="675" spans="24:27">
      <c r="X675">
        <f t="shared" si="35"/>
        <v>0</v>
      </c>
      <c r="Y675" s="4">
        <f ca="1"/>
        <v>0</v>
      </c>
      <c r="Z675" s="4">
        <v>6.0074958376653789E-64</v>
      </c>
      <c r="AA675" s="13">
        <v>0</v>
      </c>
    </row>
    <row r="676" spans="24:27">
      <c r="X676">
        <f t="shared" si="35"/>
        <v>0</v>
      </c>
      <c r="Y676" s="4">
        <f ca="1"/>
        <v>0</v>
      </c>
      <c r="Z676" s="4">
        <v>3.1866284129818168E-64</v>
      </c>
      <c r="AA676" s="13">
        <v>0</v>
      </c>
    </row>
    <row r="677" spans="24:27">
      <c r="X677">
        <f t="shared" si="35"/>
        <v>0</v>
      </c>
      <c r="Y677" s="4">
        <f ca="1"/>
        <v>0</v>
      </c>
      <c r="Z677" s="4">
        <v>1.6873449601277068E-64</v>
      </c>
      <c r="AA677" s="13">
        <v>0</v>
      </c>
    </row>
    <row r="678" spans="24:27">
      <c r="X678">
        <f t="shared" si="35"/>
        <v>0</v>
      </c>
      <c r="Y678" s="4">
        <f ca="1"/>
        <v>0</v>
      </c>
      <c r="Z678" s="4">
        <v>8.9188903384257682E-65</v>
      </c>
      <c r="AA678" s="13">
        <v>0</v>
      </c>
    </row>
    <row r="679" spans="24:27">
      <c r="X679">
        <f t="shared" si="35"/>
        <v>0</v>
      </c>
      <c r="Y679" s="4">
        <f ca="1"/>
        <v>0</v>
      </c>
      <c r="Z679" s="4">
        <v>4.7060034651903946E-65</v>
      </c>
      <c r="AA679" s="13">
        <v>0</v>
      </c>
    </row>
    <row r="680" spans="24:27">
      <c r="X680">
        <f t="shared" si="35"/>
        <v>0</v>
      </c>
      <c r="Y680" s="4">
        <f ca="1"/>
        <v>0</v>
      </c>
      <c r="Z680" s="4">
        <v>2.478723683886673E-65</v>
      </c>
      <c r="AA680" s="13">
        <v>0</v>
      </c>
    </row>
    <row r="681" spans="24:27">
      <c r="X681">
        <f t="shared" si="35"/>
        <v>0</v>
      </c>
      <c r="Y681" s="4">
        <f ca="1"/>
        <v>0</v>
      </c>
      <c r="Z681" s="4">
        <v>1.3032820923099718E-65</v>
      </c>
      <c r="AA681" s="13">
        <v>0</v>
      </c>
    </row>
    <row r="682" spans="24:27">
      <c r="X682">
        <f t="shared" si="35"/>
        <v>0</v>
      </c>
      <c r="Y682" s="4">
        <f ca="1"/>
        <v>0</v>
      </c>
      <c r="Z682" s="4">
        <v>6.8404261660195479E-66</v>
      </c>
      <c r="AA682" s="13">
        <v>0</v>
      </c>
    </row>
    <row r="683" spans="24:27">
      <c r="X683">
        <f t="shared" si="35"/>
        <v>0</v>
      </c>
      <c r="Y683" s="4">
        <f ca="1"/>
        <v>0</v>
      </c>
      <c r="Z683" s="4">
        <v>3.5839529048661643E-66</v>
      </c>
      <c r="AA683" s="13">
        <v>0</v>
      </c>
    </row>
    <row r="684" spans="24:27">
      <c r="X684">
        <f t="shared" si="35"/>
        <v>0</v>
      </c>
      <c r="Y684" s="4">
        <f ca="1"/>
        <v>0</v>
      </c>
      <c r="Z684" s="4">
        <v>1.8744584340584315E-66</v>
      </c>
      <c r="AA684" s="13">
        <v>0</v>
      </c>
    </row>
    <row r="685" spans="24:27">
      <c r="X685">
        <f t="shared" si="35"/>
        <v>0</v>
      </c>
      <c r="Y685" s="4">
        <f ca="1"/>
        <v>0</v>
      </c>
      <c r="Z685" s="4">
        <v>9.7864166888796764E-67</v>
      </c>
      <c r="AA685" s="13">
        <v>0</v>
      </c>
    </row>
    <row r="686" spans="24:27">
      <c r="X686">
        <f t="shared" si="35"/>
        <v>0</v>
      </c>
      <c r="Y686" s="4">
        <f ca="1"/>
        <v>0</v>
      </c>
      <c r="Z686" s="4">
        <v>5.100420045943072E-67</v>
      </c>
      <c r="AA686" s="13">
        <v>0</v>
      </c>
    </row>
    <row r="687" spans="24:27">
      <c r="X687">
        <f t="shared" si="35"/>
        <v>0</v>
      </c>
      <c r="Y687" s="4">
        <f ca="1"/>
        <v>0</v>
      </c>
      <c r="Z687" s="4">
        <v>2.6535209422193618E-67</v>
      </c>
      <c r="AA687" s="13">
        <v>0</v>
      </c>
    </row>
    <row r="688" spans="24:27">
      <c r="X688">
        <f t="shared" si="35"/>
        <v>0</v>
      </c>
      <c r="Y688" s="4">
        <f ca="1"/>
        <v>0</v>
      </c>
      <c r="Z688" s="4">
        <v>1.3780767745527898E-67</v>
      </c>
      <c r="AA688" s="13">
        <v>0</v>
      </c>
    </row>
    <row r="689" spans="24:27">
      <c r="X689">
        <f t="shared" si="35"/>
        <v>0</v>
      </c>
      <c r="Y689" s="4">
        <f ca="1"/>
        <v>0</v>
      </c>
      <c r="Z689" s="4">
        <v>7.1442823332943824E-68</v>
      </c>
      <c r="AA689" s="13">
        <v>0</v>
      </c>
    </row>
    <row r="690" spans="24:27">
      <c r="X690">
        <f t="shared" si="35"/>
        <v>0</v>
      </c>
      <c r="Y690" s="4">
        <f ca="1"/>
        <v>0</v>
      </c>
      <c r="Z690" s="4">
        <v>3.6972438056126393E-68</v>
      </c>
      <c r="AA690" s="13">
        <v>0</v>
      </c>
    </row>
    <row r="691" spans="24:27">
      <c r="X691">
        <f t="shared" si="35"/>
        <v>0</v>
      </c>
      <c r="Y691" s="4">
        <f ca="1"/>
        <v>0</v>
      </c>
      <c r="Z691" s="4">
        <v>1.9099932836681419E-68</v>
      </c>
      <c r="AA691" s="13">
        <v>0</v>
      </c>
    </row>
    <row r="692" spans="24:27">
      <c r="X692">
        <f t="shared" si="35"/>
        <v>0</v>
      </c>
      <c r="Y692" s="4">
        <f ca="1"/>
        <v>0</v>
      </c>
      <c r="Z692" s="4">
        <v>9.8496283345091236E-69</v>
      </c>
      <c r="AA692" s="13">
        <v>0</v>
      </c>
    </row>
    <row r="693" spans="24:27">
      <c r="X693">
        <f t="shared" si="35"/>
        <v>0</v>
      </c>
      <c r="Y693" s="4">
        <f ca="1"/>
        <v>0</v>
      </c>
      <c r="Z693" s="4">
        <v>5.0703983810671199E-69</v>
      </c>
      <c r="AA693" s="13">
        <v>0</v>
      </c>
    </row>
    <row r="694" spans="24:27">
      <c r="X694">
        <f t="shared" si="35"/>
        <v>0</v>
      </c>
      <c r="Y694" s="4">
        <f ca="1"/>
        <v>0</v>
      </c>
      <c r="Z694" s="4">
        <v>2.6055447964317538E-69</v>
      </c>
      <c r="AA694" s="13">
        <v>0</v>
      </c>
    </row>
    <row r="695" spans="24:27">
      <c r="X695">
        <f t="shared" si="35"/>
        <v>0</v>
      </c>
      <c r="Y695" s="4">
        <f ca="1"/>
        <v>0</v>
      </c>
      <c r="Z695" s="4">
        <v>1.336562311472334E-69</v>
      </c>
      <c r="AA695" s="13">
        <v>0</v>
      </c>
    </row>
    <row r="696" spans="24:27">
      <c r="X696">
        <f t="shared" si="35"/>
        <v>0</v>
      </c>
      <c r="Y696" s="4">
        <f ca="1"/>
        <v>0</v>
      </c>
      <c r="Z696" s="4">
        <v>6.8440640740017694E-70</v>
      </c>
      <c r="AA696" s="13">
        <v>0</v>
      </c>
    </row>
    <row r="697" spans="24:27">
      <c r="X697">
        <f t="shared" si="35"/>
        <v>0</v>
      </c>
      <c r="Y697" s="4">
        <f ca="1"/>
        <v>0</v>
      </c>
      <c r="Z697" s="4">
        <v>3.4984292621824868E-70</v>
      </c>
      <c r="AA697" s="13">
        <v>0</v>
      </c>
    </row>
    <row r="698" spans="24:27">
      <c r="X698">
        <f t="shared" si="35"/>
        <v>0</v>
      </c>
      <c r="Y698" s="4">
        <f ca="1"/>
        <v>0</v>
      </c>
      <c r="Z698" s="4">
        <v>1.7851153559647834E-70</v>
      </c>
      <c r="AA698" s="13">
        <v>0</v>
      </c>
    </row>
    <row r="699" spans="24:27">
      <c r="X699">
        <f t="shared" si="35"/>
        <v>0</v>
      </c>
      <c r="Y699" s="4">
        <f ca="1"/>
        <v>0</v>
      </c>
      <c r="Z699" s="4">
        <v>9.0927158256971949E-71</v>
      </c>
      <c r="AA699" s="13">
        <v>0</v>
      </c>
    </row>
    <row r="700" spans="24:27">
      <c r="X700">
        <f t="shared" si="35"/>
        <v>0</v>
      </c>
      <c r="Y700" s="4">
        <f ca="1"/>
        <v>0</v>
      </c>
      <c r="Z700" s="4">
        <v>4.623331977615725E-71</v>
      </c>
      <c r="AA700" s="13">
        <v>0</v>
      </c>
    </row>
    <row r="701" spans="24:27">
      <c r="X701">
        <f t="shared" si="35"/>
        <v>0</v>
      </c>
      <c r="Y701" s="4">
        <f ca="1"/>
        <v>0</v>
      </c>
      <c r="Z701" s="4">
        <v>2.3466626060725029E-71</v>
      </c>
      <c r="AA701" s="13">
        <v>0</v>
      </c>
    </row>
    <row r="702" spans="24:27">
      <c r="X702">
        <f t="shared" si="35"/>
        <v>0</v>
      </c>
      <c r="Y702" s="4">
        <f ca="1"/>
        <v>0</v>
      </c>
      <c r="Z702" s="4">
        <v>1.1889958126976542E-71</v>
      </c>
      <c r="AA702" s="13">
        <v>0</v>
      </c>
    </row>
    <row r="703" spans="24:27">
      <c r="X703">
        <f t="shared" si="35"/>
        <v>0</v>
      </c>
      <c r="Y703" s="4">
        <f ca="1"/>
        <v>0</v>
      </c>
      <c r="Z703" s="4">
        <v>6.0137321503619035E-72</v>
      </c>
      <c r="AA703" s="13">
        <v>0</v>
      </c>
    </row>
    <row r="704" spans="24:27">
      <c r="X704">
        <f t="shared" si="35"/>
        <v>0</v>
      </c>
      <c r="Y704" s="4">
        <f ca="1"/>
        <v>0</v>
      </c>
      <c r="Z704" s="4">
        <v>3.0362806043387233E-72</v>
      </c>
      <c r="AA704" s="13">
        <v>0</v>
      </c>
    </row>
    <row r="705" spans="24:27">
      <c r="X705">
        <f t="shared" si="35"/>
        <v>0</v>
      </c>
      <c r="Y705" s="4">
        <f ca="1"/>
        <v>0</v>
      </c>
      <c r="Z705" s="4">
        <v>1.5302901539206234E-72</v>
      </c>
      <c r="AA705" s="13">
        <v>0</v>
      </c>
    </row>
    <row r="706" spans="24:27">
      <c r="X706">
        <f t="shared" si="35"/>
        <v>0</v>
      </c>
      <c r="Y706" s="4">
        <f ca="1"/>
        <v>0</v>
      </c>
      <c r="Z706" s="4">
        <v>7.6990954216058998E-73</v>
      </c>
      <c r="AA706" s="13">
        <v>0</v>
      </c>
    </row>
    <row r="707" spans="24:27">
      <c r="X707">
        <f t="shared" si="35"/>
        <v>0</v>
      </c>
      <c r="Y707" s="4">
        <f ca="1"/>
        <v>0</v>
      </c>
      <c r="Z707" s="4">
        <v>3.866692587311555E-73</v>
      </c>
      <c r="AA707" s="13">
        <v>0</v>
      </c>
    </row>
    <row r="708" spans="24:27">
      <c r="X708">
        <f t="shared" si="35"/>
        <v>0</v>
      </c>
      <c r="Y708" s="4">
        <f ca="1"/>
        <v>0</v>
      </c>
      <c r="Z708" s="4">
        <v>1.938534794222461E-73</v>
      </c>
      <c r="AA708" s="13">
        <v>0</v>
      </c>
    </row>
    <row r="709" spans="24:27">
      <c r="X709">
        <f t="shared" ref="X709:X772" si="36">W709*$C$21</f>
        <v>0</v>
      </c>
      <c r="Y709" s="4">
        <f ca="1"/>
        <v>0</v>
      </c>
      <c r="Z709" s="4">
        <v>9.7015595073883291E-74</v>
      </c>
      <c r="AA709" s="13">
        <v>0</v>
      </c>
    </row>
    <row r="710" spans="24:27">
      <c r="X710">
        <f t="shared" si="36"/>
        <v>0</v>
      </c>
      <c r="Y710" s="4">
        <f ca="1"/>
        <v>0</v>
      </c>
      <c r="Z710" s="4">
        <v>4.84667039777849E-74</v>
      </c>
      <c r="AA710" s="13">
        <v>0</v>
      </c>
    </row>
    <row r="711" spans="24:27">
      <c r="X711">
        <f t="shared" si="36"/>
        <v>0</v>
      </c>
      <c r="Y711" s="4">
        <f ca="1"/>
        <v>0</v>
      </c>
      <c r="Z711" s="4">
        <v>2.4170152424191556E-74</v>
      </c>
      <c r="AA711" s="13">
        <v>0</v>
      </c>
    </row>
    <row r="712" spans="24:27">
      <c r="X712">
        <f t="shared" si="36"/>
        <v>0</v>
      </c>
      <c r="Y712" s="4">
        <f ca="1"/>
        <v>0</v>
      </c>
      <c r="Z712" s="4">
        <v>1.203231650290585E-74</v>
      </c>
      <c r="AA712" s="13">
        <v>0</v>
      </c>
    </row>
    <row r="713" spans="24:27">
      <c r="X713">
        <f t="shared" si="36"/>
        <v>0</v>
      </c>
      <c r="Y713" s="4">
        <f ca="1"/>
        <v>0</v>
      </c>
      <c r="Z713" s="4">
        <v>5.9793372099868937E-75</v>
      </c>
      <c r="AA713" s="13">
        <v>0</v>
      </c>
    </row>
    <row r="714" spans="24:27">
      <c r="X714">
        <f t="shared" si="36"/>
        <v>0</v>
      </c>
      <c r="Y714" s="4">
        <f ca="1"/>
        <v>0</v>
      </c>
      <c r="Z714" s="4">
        <v>2.9661340428830165E-75</v>
      </c>
      <c r="AA714" s="13">
        <v>0</v>
      </c>
    </row>
    <row r="715" spans="24:27">
      <c r="X715">
        <f t="shared" si="36"/>
        <v>0</v>
      </c>
      <c r="Y715" s="4">
        <f ca="1"/>
        <v>0</v>
      </c>
      <c r="Z715" s="4">
        <v>1.4687991558838405E-75</v>
      </c>
      <c r="AA715" s="13">
        <v>0</v>
      </c>
    </row>
    <row r="716" spans="24:27">
      <c r="X716">
        <f t="shared" si="36"/>
        <v>0</v>
      </c>
      <c r="Y716" s="4">
        <f ca="1"/>
        <v>0</v>
      </c>
      <c r="Z716" s="4">
        <v>7.2605238394071744E-76</v>
      </c>
      <c r="AA716" s="13">
        <v>0</v>
      </c>
    </row>
    <row r="717" spans="24:27">
      <c r="X717">
        <f t="shared" si="36"/>
        <v>0</v>
      </c>
      <c r="Y717" s="4">
        <f ca="1"/>
        <v>0</v>
      </c>
      <c r="Z717" s="4">
        <v>3.5826747625710742E-76</v>
      </c>
      <c r="AA717" s="13">
        <v>0</v>
      </c>
    </row>
    <row r="718" spans="24:27">
      <c r="X718">
        <f t="shared" si="36"/>
        <v>0</v>
      </c>
      <c r="Y718" s="4">
        <f ca="1"/>
        <v>0</v>
      </c>
      <c r="Z718" s="4">
        <v>1.7647398272730836E-76</v>
      </c>
      <c r="AA718" s="13">
        <v>0</v>
      </c>
    </row>
    <row r="719" spans="24:27">
      <c r="X719">
        <f t="shared" si="36"/>
        <v>0</v>
      </c>
      <c r="Y719" s="4">
        <f ca="1"/>
        <v>0</v>
      </c>
      <c r="Z719" s="4">
        <v>8.6773646973343061E-77</v>
      </c>
      <c r="AA719" s="13">
        <v>0</v>
      </c>
    </row>
    <row r="720" spans="24:27">
      <c r="X720">
        <f t="shared" si="36"/>
        <v>0</v>
      </c>
      <c r="Y720" s="4">
        <f ca="1"/>
        <v>0</v>
      </c>
      <c r="Z720" s="4">
        <v>4.2592081212404041E-77</v>
      </c>
      <c r="AA720" s="13">
        <v>0</v>
      </c>
    </row>
    <row r="721" spans="24:27">
      <c r="X721">
        <f t="shared" si="36"/>
        <v>0</v>
      </c>
      <c r="Y721" s="4">
        <f ca="1"/>
        <v>0</v>
      </c>
      <c r="Z721" s="4">
        <v>2.086909941634674E-77</v>
      </c>
      <c r="AA721" s="13">
        <v>0</v>
      </c>
    </row>
    <row r="722" spans="24:27">
      <c r="X722">
        <f t="shared" si="36"/>
        <v>0</v>
      </c>
      <c r="Y722" s="4">
        <f ca="1"/>
        <v>0</v>
      </c>
      <c r="Z722" s="4">
        <v>1.0207335178833748E-77</v>
      </c>
      <c r="AA722" s="13">
        <v>0</v>
      </c>
    </row>
    <row r="723" spans="24:27">
      <c r="X723">
        <f t="shared" si="36"/>
        <v>0</v>
      </c>
      <c r="Y723" s="4">
        <f ca="1"/>
        <v>0</v>
      </c>
      <c r="Z723" s="4">
        <v>4.983733985275776E-78</v>
      </c>
      <c r="AA723" s="13">
        <v>0</v>
      </c>
    </row>
    <row r="724" spans="24:27">
      <c r="X724">
        <f t="shared" si="36"/>
        <v>0</v>
      </c>
      <c r="Y724" s="4">
        <f ca="1"/>
        <v>0</v>
      </c>
      <c r="Z724" s="4">
        <v>2.4290202015258286E-78</v>
      </c>
      <c r="AA724" s="13">
        <v>0</v>
      </c>
    </row>
    <row r="725" spans="24:27">
      <c r="X725">
        <f t="shared" si="36"/>
        <v>0</v>
      </c>
      <c r="Y725" s="4">
        <f ca="1"/>
        <v>0</v>
      </c>
      <c r="Z725" s="4">
        <v>1.1817923768334602E-78</v>
      </c>
      <c r="AA725" s="13">
        <v>0</v>
      </c>
    </row>
    <row r="726" spans="24:27">
      <c r="X726">
        <f t="shared" si="36"/>
        <v>0</v>
      </c>
      <c r="Y726" s="4">
        <f ca="1"/>
        <v>0</v>
      </c>
      <c r="Z726" s="4">
        <v>5.7396447516380375E-79</v>
      </c>
      <c r="AA726" s="13">
        <v>0</v>
      </c>
    </row>
    <row r="727" spans="24:27">
      <c r="X727">
        <f t="shared" si="36"/>
        <v>0</v>
      </c>
      <c r="Y727" s="4">
        <f ca="1"/>
        <v>0</v>
      </c>
      <c r="Z727" s="4">
        <v>2.7826757346538108E-79</v>
      </c>
      <c r="AA727" s="13">
        <v>0</v>
      </c>
    </row>
    <row r="728" spans="24:27">
      <c r="X728">
        <f t="shared" si="36"/>
        <v>0</v>
      </c>
      <c r="Y728" s="4">
        <f ca="1"/>
        <v>0</v>
      </c>
      <c r="Z728" s="4">
        <v>1.3467095360844791E-79</v>
      </c>
      <c r="AA728" s="13">
        <v>0</v>
      </c>
    </row>
    <row r="729" spans="24:27">
      <c r="X729">
        <f t="shared" si="36"/>
        <v>0</v>
      </c>
      <c r="Y729" s="4">
        <f ca="1"/>
        <v>0</v>
      </c>
      <c r="Z729" s="4">
        <v>6.5060740839331237E-80</v>
      </c>
      <c r="AA729" s="13">
        <v>0</v>
      </c>
    </row>
    <row r="730" spans="24:27">
      <c r="X730">
        <f t="shared" si="36"/>
        <v>0</v>
      </c>
      <c r="Y730" s="4">
        <f ca="1"/>
        <v>0</v>
      </c>
      <c r="Z730" s="4">
        <v>3.1376015822751673E-80</v>
      </c>
      <c r="AA730" s="13">
        <v>0</v>
      </c>
    </row>
    <row r="731" spans="24:27">
      <c r="X731">
        <f t="shared" si="36"/>
        <v>0</v>
      </c>
      <c r="Y731" s="4">
        <f ca="1"/>
        <v>0</v>
      </c>
      <c r="Z731" s="4">
        <v>1.5104637139210145E-80</v>
      </c>
      <c r="AA731" s="13">
        <v>0</v>
      </c>
    </row>
    <row r="732" spans="24:27">
      <c r="X732">
        <f t="shared" si="36"/>
        <v>0</v>
      </c>
      <c r="Y732" s="4">
        <f ca="1"/>
        <v>0</v>
      </c>
      <c r="Z732" s="4">
        <v>7.2586606992899178E-81</v>
      </c>
      <c r="AA732" s="13">
        <v>0</v>
      </c>
    </row>
    <row r="733" spans="24:27">
      <c r="X733">
        <f t="shared" si="36"/>
        <v>0</v>
      </c>
      <c r="Y733" s="4">
        <f ca="1"/>
        <v>0</v>
      </c>
      <c r="Z733" s="4">
        <v>3.48206105553158E-81</v>
      </c>
      <c r="AA733" s="13">
        <v>0</v>
      </c>
    </row>
    <row r="734" spans="24:27">
      <c r="X734">
        <f t="shared" si="36"/>
        <v>0</v>
      </c>
      <c r="Y734" s="4">
        <f ca="1"/>
        <v>0</v>
      </c>
      <c r="Z734" s="4">
        <v>1.6674389506099103E-81</v>
      </c>
      <c r="AA734" s="13">
        <v>0</v>
      </c>
    </row>
    <row r="735" spans="24:27">
      <c r="X735">
        <f t="shared" si="36"/>
        <v>0</v>
      </c>
      <c r="Y735" s="4">
        <f ca="1"/>
        <v>0</v>
      </c>
      <c r="Z735" s="4">
        <v>7.9707128792892241E-82</v>
      </c>
      <c r="AA735" s="13">
        <v>0</v>
      </c>
    </row>
    <row r="736" spans="24:27">
      <c r="X736">
        <f t="shared" si="36"/>
        <v>0</v>
      </c>
      <c r="Y736" s="4">
        <f ca="1"/>
        <v>0</v>
      </c>
      <c r="Z736" s="4">
        <v>3.8034528731232816E-82</v>
      </c>
      <c r="AA736" s="13">
        <v>0</v>
      </c>
    </row>
    <row r="737" spans="24:27">
      <c r="X737">
        <f t="shared" si="36"/>
        <v>0</v>
      </c>
      <c r="Y737" s="4">
        <f ca="1"/>
        <v>0</v>
      </c>
      <c r="Z737" s="4">
        <v>1.8117261515759194E-82</v>
      </c>
      <c r="AA737" s="13">
        <v>0</v>
      </c>
    </row>
    <row r="738" spans="24:27">
      <c r="X738">
        <f t="shared" si="36"/>
        <v>0</v>
      </c>
      <c r="Y738" s="4">
        <f ca="1"/>
        <v>0</v>
      </c>
      <c r="Z738" s="4">
        <v>8.6147106522885703E-83</v>
      </c>
      <c r="AA738" s="13">
        <v>0</v>
      </c>
    </row>
    <row r="739" spans="24:27">
      <c r="X739">
        <f t="shared" si="36"/>
        <v>0</v>
      </c>
      <c r="Y739" s="4">
        <f ca="1"/>
        <v>0</v>
      </c>
      <c r="Z739" s="4">
        <v>4.0890503069990058E-83</v>
      </c>
      <c r="AA739" s="13">
        <v>0</v>
      </c>
    </row>
    <row r="740" spans="24:27">
      <c r="X740">
        <f t="shared" si="36"/>
        <v>0</v>
      </c>
      <c r="Y740" s="4">
        <f ca="1"/>
        <v>0</v>
      </c>
      <c r="Z740" s="4">
        <v>1.9374826296189221E-83</v>
      </c>
      <c r="AA740" s="13">
        <v>0</v>
      </c>
    </row>
    <row r="741" spans="24:27">
      <c r="X741">
        <f t="shared" si="36"/>
        <v>0</v>
      </c>
      <c r="Y741" s="4">
        <f ca="1"/>
        <v>0</v>
      </c>
      <c r="Z741" s="4">
        <v>9.1640357673898581E-84</v>
      </c>
      <c r="AA741" s="13">
        <v>0</v>
      </c>
    </row>
    <row r="742" spans="24:27">
      <c r="X742">
        <f t="shared" si="36"/>
        <v>0</v>
      </c>
      <c r="Y742" s="4">
        <f ca="1"/>
        <v>0</v>
      </c>
      <c r="Z742" s="4">
        <v>4.3268248625090036E-84</v>
      </c>
      <c r="AA742" s="13">
        <v>0</v>
      </c>
    </row>
    <row r="743" spans="24:27">
      <c r="X743">
        <f t="shared" si="36"/>
        <v>0</v>
      </c>
      <c r="Y743" s="4">
        <f ca="1"/>
        <v>0</v>
      </c>
      <c r="Z743" s="4">
        <v>2.03932023915966E-84</v>
      </c>
      <c r="AA743" s="13">
        <v>0</v>
      </c>
    </row>
    <row r="744" spans="24:27">
      <c r="X744">
        <f t="shared" si="36"/>
        <v>0</v>
      </c>
      <c r="Y744" s="4">
        <f ca="1"/>
        <v>0</v>
      </c>
      <c r="Z744" s="4">
        <v>9.5947818094186919E-85</v>
      </c>
      <c r="AA744" s="13">
        <v>0</v>
      </c>
    </row>
    <row r="745" spans="24:27">
      <c r="X745">
        <f t="shared" si="36"/>
        <v>0</v>
      </c>
      <c r="Y745" s="4">
        <f ca="1"/>
        <v>0</v>
      </c>
      <c r="Z745" s="4">
        <v>4.5062815913094031E-85</v>
      </c>
      <c r="AA745" s="13">
        <v>0</v>
      </c>
    </row>
    <row r="746" spans="24:27">
      <c r="X746">
        <f t="shared" si="36"/>
        <v>0</v>
      </c>
      <c r="Y746" s="4">
        <f ca="1"/>
        <v>0</v>
      </c>
      <c r="Z746" s="4">
        <v>2.1126866564746245E-85</v>
      </c>
      <c r="AA746" s="13">
        <v>0</v>
      </c>
    </row>
    <row r="747" spans="24:27">
      <c r="X747">
        <f t="shared" si="36"/>
        <v>0</v>
      </c>
      <c r="Y747" s="4">
        <f ca="1"/>
        <v>0</v>
      </c>
      <c r="Z747" s="4">
        <v>9.8874745873088942E-86</v>
      </c>
      <c r="AA747" s="13">
        <v>0</v>
      </c>
    </row>
    <row r="748" spans="24:27">
      <c r="X748">
        <f t="shared" si="36"/>
        <v>0</v>
      </c>
      <c r="Y748" s="4">
        <f ca="1"/>
        <v>0</v>
      </c>
      <c r="Z748" s="4">
        <v>4.6192257631836608E-86</v>
      </c>
      <c r="AA748" s="13">
        <v>0</v>
      </c>
    </row>
    <row r="749" spans="24:27">
      <c r="X749">
        <f t="shared" si="36"/>
        <v>0</v>
      </c>
      <c r="Y749" s="4">
        <f ca="1"/>
        <v>0</v>
      </c>
      <c r="Z749" s="4">
        <v>2.1542023938551895E-86</v>
      </c>
      <c r="AA749" s="13">
        <v>0</v>
      </c>
    </row>
    <row r="750" spans="24:27">
      <c r="X750">
        <f t="shared" si="36"/>
        <v>0</v>
      </c>
      <c r="Y750" s="4">
        <f ca="1"/>
        <v>0</v>
      </c>
      <c r="Z750" s="4">
        <v>1.002853087484512E-86</v>
      </c>
      <c r="AA750" s="13">
        <v>0</v>
      </c>
    </row>
    <row r="751" spans="24:27">
      <c r="X751">
        <f t="shared" si="36"/>
        <v>0</v>
      </c>
      <c r="Y751" s="4">
        <f ca="1"/>
        <v>0</v>
      </c>
      <c r="Z751" s="4">
        <v>4.6603830440933381E-87</v>
      </c>
      <c r="AA751" s="13">
        <v>0</v>
      </c>
    </row>
    <row r="752" spans="24:27">
      <c r="X752">
        <f t="shared" si="36"/>
        <v>0</v>
      </c>
      <c r="Y752" s="4">
        <f ca="1"/>
        <v>0</v>
      </c>
      <c r="Z752" s="4">
        <v>2.1619188415493084E-87</v>
      </c>
      <c r="AA752" s="13">
        <v>0</v>
      </c>
    </row>
    <row r="753" spans="24:27">
      <c r="X753">
        <f t="shared" si="36"/>
        <v>0</v>
      </c>
      <c r="Y753" s="4">
        <f ca="1"/>
        <v>0</v>
      </c>
      <c r="Z753" s="4">
        <v>1.0011303432163755E-87</v>
      </c>
      <c r="AA753" s="13">
        <v>0</v>
      </c>
    </row>
    <row r="754" spans="24:27">
      <c r="X754">
        <f t="shared" si="36"/>
        <v>0</v>
      </c>
      <c r="Y754" s="4">
        <f ca="1"/>
        <v>0</v>
      </c>
      <c r="Z754" s="4">
        <v>4.6278078396242765E-88</v>
      </c>
      <c r="AA754" s="13">
        <v>0</v>
      </c>
    </row>
    <row r="755" spans="24:27">
      <c r="X755">
        <f t="shared" si="36"/>
        <v>0</v>
      </c>
      <c r="Y755" s="4">
        <f ca="1"/>
        <v>0</v>
      </c>
      <c r="Z755" s="4">
        <v>2.1354699028246659E-88</v>
      </c>
      <c r="AA755" s="13">
        <v>0</v>
      </c>
    </row>
    <row r="756" spans="24:27">
      <c r="X756">
        <f t="shared" si="36"/>
        <v>0</v>
      </c>
      <c r="Y756" s="4">
        <f ca="1"/>
        <v>0</v>
      </c>
      <c r="Z756" s="4">
        <v>9.8366003475662258E-89</v>
      </c>
      <c r="AA756" s="13">
        <v>0</v>
      </c>
    </row>
    <row r="757" spans="24:27">
      <c r="X757">
        <f t="shared" si="36"/>
        <v>0</v>
      </c>
      <c r="Y757" s="4">
        <f ca="1"/>
        <v>0</v>
      </c>
      <c r="Z757" s="4">
        <v>4.5230357763216717E-89</v>
      </c>
      <c r="AA757" s="13">
        <v>0</v>
      </c>
    </row>
    <row r="758" spans="24:27">
      <c r="X758">
        <f t="shared" si="36"/>
        <v>0</v>
      </c>
      <c r="Y758" s="4">
        <f ca="1"/>
        <v>0</v>
      </c>
      <c r="Z758" s="4">
        <v>2.0761007889003317E-89</v>
      </c>
      <c r="AA758" s="13">
        <v>0</v>
      </c>
    </row>
    <row r="759" spans="24:27">
      <c r="X759">
        <f t="shared" si="36"/>
        <v>0</v>
      </c>
      <c r="Y759" s="4">
        <f ca="1"/>
        <v>0</v>
      </c>
      <c r="Z759" s="4">
        <v>9.5126221910068778E-90</v>
      </c>
      <c r="AA759" s="13">
        <v>0</v>
      </c>
    </row>
    <row r="760" spans="24:27">
      <c r="X760">
        <f t="shared" si="36"/>
        <v>0</v>
      </c>
      <c r="Y760" s="4">
        <f ca="1"/>
        <v>0</v>
      </c>
      <c r="Z760" s="4">
        <v>4.3509636781158217E-90</v>
      </c>
      <c r="AA760" s="13">
        <v>0</v>
      </c>
    </row>
    <row r="761" spans="24:27">
      <c r="X761">
        <f t="shared" si="36"/>
        <v>0</v>
      </c>
      <c r="Y761" s="4">
        <f ca="1"/>
        <v>0</v>
      </c>
      <c r="Z761" s="4">
        <v>1.9865708197219687E-90</v>
      </c>
      <c r="AA761" s="13">
        <v>0</v>
      </c>
    </row>
    <row r="762" spans="24:27">
      <c r="X762">
        <f t="shared" si="36"/>
        <v>0</v>
      </c>
      <c r="Y762" s="4">
        <f ca="1"/>
        <v>0</v>
      </c>
      <c r="Z762" s="4">
        <v>9.0543237865453723E-91</v>
      </c>
      <c r="AA762" s="13">
        <v>0</v>
      </c>
    </row>
    <row r="763" spans="24:27">
      <c r="X763">
        <f t="shared" si="36"/>
        <v>0</v>
      </c>
      <c r="Y763" s="4">
        <f ca="1"/>
        <v>0</v>
      </c>
      <c r="Z763" s="4">
        <v>4.119470103039957E-91</v>
      </c>
      <c r="AA763" s="13">
        <v>0</v>
      </c>
    </row>
    <row r="764" spans="24:27">
      <c r="X764">
        <f t="shared" si="36"/>
        <v>0</v>
      </c>
      <c r="Y764" s="4">
        <f ca="1"/>
        <v>0</v>
      </c>
      <c r="Z764" s="4">
        <v>1.8709407976290825E-91</v>
      </c>
      <c r="AA764" s="13">
        <v>0</v>
      </c>
    </row>
    <row r="765" spans="24:27">
      <c r="X765">
        <f t="shared" si="36"/>
        <v>0</v>
      </c>
      <c r="Y765" s="4">
        <f ca="1"/>
        <v>0</v>
      </c>
      <c r="Z765" s="4">
        <v>8.4822697838601864E-92</v>
      </c>
      <c r="AA765" s="13">
        <v>0</v>
      </c>
    </row>
    <row r="766" spans="24:27">
      <c r="X766">
        <f t="shared" si="36"/>
        <v>0</v>
      </c>
      <c r="Y766" s="4">
        <f ca="1"/>
        <v>0</v>
      </c>
      <c r="Z766" s="4">
        <v>3.8388173943362934E-92</v>
      </c>
      <c r="AA766" s="13">
        <v>0</v>
      </c>
    </row>
    <row r="767" spans="24:27">
      <c r="X767">
        <f t="shared" si="36"/>
        <v>0</v>
      </c>
      <c r="Y767" s="4">
        <f ca="1"/>
        <v>0</v>
      </c>
      <c r="Z767" s="4">
        <v>1.7342677726376892E-92</v>
      </c>
      <c r="AA767" s="13">
        <v>0</v>
      </c>
    </row>
    <row r="768" spans="24:27">
      <c r="X768">
        <f t="shared" si="36"/>
        <v>0</v>
      </c>
      <c r="Y768" s="4">
        <f ca="1"/>
        <v>0</v>
      </c>
      <c r="Z768" s="4">
        <v>7.821105990293669E-93</v>
      </c>
      <c r="AA768" s="13">
        <v>0</v>
      </c>
    </row>
    <row r="769" spans="24:27">
      <c r="X769">
        <f t="shared" si="36"/>
        <v>0</v>
      </c>
      <c r="Y769" s="4">
        <f ca="1"/>
        <v>0</v>
      </c>
      <c r="Z769" s="4">
        <v>3.5208984354080308E-93</v>
      </c>
      <c r="AA769" s="13">
        <v>0</v>
      </c>
    </row>
    <row r="770" spans="24:27">
      <c r="X770">
        <f t="shared" si="36"/>
        <v>0</v>
      </c>
      <c r="Y770" s="4">
        <f ca="1"/>
        <v>0</v>
      </c>
      <c r="Z770" s="4">
        <v>1.5822391375493345E-93</v>
      </c>
      <c r="AA770" s="13">
        <v>0</v>
      </c>
    </row>
    <row r="771" spans="24:27">
      <c r="X771">
        <f t="shared" si="36"/>
        <v>0</v>
      </c>
      <c r="Y771" s="4">
        <f ca="1"/>
        <v>0</v>
      </c>
      <c r="Z771" s="4">
        <v>7.0978045834209556E-94</v>
      </c>
      <c r="AA771" s="13">
        <v>0</v>
      </c>
    </row>
    <row r="772" spans="24:27">
      <c r="X772">
        <f t="shared" si="36"/>
        <v>0</v>
      </c>
      <c r="Y772" s="4">
        <f ca="1"/>
        <v>0</v>
      </c>
      <c r="Z772" s="4">
        <v>3.1784049944211644E-94</v>
      </c>
      <c r="AA772" s="13">
        <v>0</v>
      </c>
    </row>
    <row r="773" spans="24:27">
      <c r="X773">
        <f t="shared" ref="X773:X836" si="37">W773*$C$21</f>
        <v>0</v>
      </c>
      <c r="Y773" s="4">
        <f ca="1"/>
        <v>0</v>
      </c>
      <c r="Z773" s="4">
        <v>1.4207828383598294E-94</v>
      </c>
      <c r="AA773" s="13">
        <v>0</v>
      </c>
    </row>
    <row r="774" spans="24:27">
      <c r="X774">
        <f t="shared" si="37"/>
        <v>0</v>
      </c>
      <c r="Y774" s="4">
        <f ca="1"/>
        <v>0</v>
      </c>
      <c r="Z774" s="4">
        <v>6.3398565829732642E-95</v>
      </c>
      <c r="AA774" s="13">
        <v>0</v>
      </c>
    </row>
    <row r="775" spans="24:27">
      <c r="X775">
        <f t="shared" si="37"/>
        <v>0</v>
      </c>
      <c r="Y775" s="4">
        <f ca="1"/>
        <v>0</v>
      </c>
      <c r="Z775" s="4">
        <v>2.8239982189141584E-95</v>
      </c>
      <c r="AA775" s="13">
        <v>0</v>
      </c>
    </row>
    <row r="776" spans="24:27">
      <c r="X776">
        <f t="shared" si="37"/>
        <v>0</v>
      </c>
      <c r="Y776" s="4">
        <f ca="1"/>
        <v>0</v>
      </c>
      <c r="Z776" s="4">
        <v>1.2556906149290397E-95</v>
      </c>
      <c r="AA776" s="13">
        <v>0</v>
      </c>
    </row>
    <row r="777" spans="24:27">
      <c r="X777">
        <f t="shared" si="37"/>
        <v>0</v>
      </c>
      <c r="Y777" s="4">
        <f ca="1"/>
        <v>0</v>
      </c>
      <c r="Z777" s="4">
        <v>5.5735783986980657E-96</v>
      </c>
      <c r="AA777" s="13">
        <v>0</v>
      </c>
    </row>
    <row r="778" spans="24:27">
      <c r="X778">
        <f t="shared" si="37"/>
        <v>0</v>
      </c>
      <c r="Y778" s="4">
        <f ca="1"/>
        <v>0</v>
      </c>
      <c r="Z778" s="4">
        <v>2.4695555963321296E-96</v>
      </c>
      <c r="AA778" s="13">
        <v>0</v>
      </c>
    </row>
    <row r="779" spans="24:27">
      <c r="X779">
        <f t="shared" si="37"/>
        <v>0</v>
      </c>
      <c r="Y779" s="4">
        <f ca="1"/>
        <v>0</v>
      </c>
      <c r="Z779" s="4">
        <v>1.0922868866054572E-96</v>
      </c>
      <c r="AA779" s="13">
        <v>0</v>
      </c>
    </row>
    <row r="780" spans="24:27">
      <c r="X780">
        <f t="shared" si="37"/>
        <v>0</v>
      </c>
      <c r="Y780" s="4">
        <f ca="1"/>
        <v>0</v>
      </c>
      <c r="Z780" s="4">
        <v>4.822673289855779E-97</v>
      </c>
      <c r="AA780" s="13">
        <v>0</v>
      </c>
    </row>
    <row r="781" spans="24:27">
      <c r="X781">
        <f t="shared" si="37"/>
        <v>0</v>
      </c>
      <c r="Y781" s="4">
        <f ca="1"/>
        <v>0</v>
      </c>
      <c r="Z781" s="4">
        <v>2.1255541098143149E-97</v>
      </c>
      <c r="AA781" s="13">
        <v>0</v>
      </c>
    </row>
    <row r="782" spans="24:27">
      <c r="X782">
        <f t="shared" si="37"/>
        <v>0</v>
      </c>
      <c r="Y782" s="4">
        <f ca="1"/>
        <v>0</v>
      </c>
      <c r="Z782" s="4">
        <v>9.3516809445139973E-98</v>
      </c>
      <c r="AA782" s="13">
        <v>0</v>
      </c>
    </row>
    <row r="783" spans="24:27">
      <c r="X783">
        <f t="shared" si="37"/>
        <v>0</v>
      </c>
      <c r="Y783" s="4">
        <f ca="1"/>
        <v>0</v>
      </c>
      <c r="Z783" s="4">
        <v>4.1071482748153994E-98</v>
      </c>
      <c r="AA783" s="13">
        <v>0</v>
      </c>
    </row>
    <row r="784" spans="24:27">
      <c r="X784">
        <f t="shared" si="37"/>
        <v>0</v>
      </c>
      <c r="Y784" s="4">
        <f ca="1"/>
        <v>0</v>
      </c>
      <c r="Z784" s="4">
        <v>1.8006290739692216E-98</v>
      </c>
      <c r="AA784" s="13">
        <v>0</v>
      </c>
    </row>
    <row r="785" spans="24:27">
      <c r="X785">
        <f t="shared" si="37"/>
        <v>0</v>
      </c>
      <c r="Y785" s="4">
        <f ca="1"/>
        <v>0</v>
      </c>
      <c r="Z785" s="4">
        <v>7.8802737041609698E-99</v>
      </c>
      <c r="AA785" s="13">
        <v>0</v>
      </c>
    </row>
    <row r="786" spans="24:27">
      <c r="X786">
        <f t="shared" si="37"/>
        <v>0</v>
      </c>
      <c r="Y786" s="4">
        <f ca="1"/>
        <v>0</v>
      </c>
      <c r="Z786" s="4">
        <v>3.4426391630728406E-99</v>
      </c>
      <c r="AA786" s="13">
        <v>0</v>
      </c>
    </row>
    <row r="787" spans="24:27">
      <c r="X787">
        <f t="shared" si="37"/>
        <v>0</v>
      </c>
      <c r="Y787" s="4">
        <f ca="1"/>
        <v>0</v>
      </c>
      <c r="Z787" s="4">
        <v>1.5013254913545519E-99</v>
      </c>
      <c r="AA787" s="13">
        <v>0</v>
      </c>
    </row>
    <row r="788" spans="24:27">
      <c r="X788">
        <f t="shared" si="37"/>
        <v>0</v>
      </c>
      <c r="Y788" s="4">
        <f ca="1"/>
        <v>0</v>
      </c>
      <c r="Z788" s="4">
        <v>6.5356886505274699E-100</v>
      </c>
      <c r="AA788" s="13">
        <v>0</v>
      </c>
    </row>
    <row r="789" spans="24:27">
      <c r="X789">
        <f t="shared" si="37"/>
        <v>0</v>
      </c>
      <c r="Y789" s="4">
        <f ca="1"/>
        <v>0</v>
      </c>
      <c r="Z789" s="4">
        <v>2.8401480909917763E-100</v>
      </c>
      <c r="AA789" s="13">
        <v>0</v>
      </c>
    </row>
    <row r="790" spans="24:27">
      <c r="X790">
        <f t="shared" si="37"/>
        <v>0</v>
      </c>
      <c r="Y790" s="4">
        <f ca="1"/>
        <v>0</v>
      </c>
      <c r="Z790" s="4">
        <v>1.2320369772362861E-100</v>
      </c>
      <c r="AA790" s="13">
        <v>0</v>
      </c>
    </row>
    <row r="791" spans="24:27">
      <c r="X791">
        <f t="shared" si="37"/>
        <v>0</v>
      </c>
      <c r="Y791" s="4">
        <f ca="1"/>
        <v>0</v>
      </c>
      <c r="Z791" s="4">
        <v>5.3350638033588499E-101</v>
      </c>
      <c r="AA791" s="13">
        <v>0</v>
      </c>
    </row>
    <row r="792" spans="24:27">
      <c r="X792">
        <f t="shared" si="37"/>
        <v>0</v>
      </c>
      <c r="Y792" s="4">
        <f ca="1"/>
        <v>0</v>
      </c>
      <c r="Z792" s="4">
        <v>2.3061555805957557E-101</v>
      </c>
      <c r="AA792" s="13">
        <v>0</v>
      </c>
    </row>
    <row r="793" spans="24:27">
      <c r="X793">
        <f t="shared" si="37"/>
        <v>0</v>
      </c>
      <c r="Y793" s="4">
        <f ca="1"/>
        <v>0</v>
      </c>
      <c r="Z793" s="4">
        <v>9.9510908262635397E-102</v>
      </c>
      <c r="AA793" s="13">
        <v>0</v>
      </c>
    </row>
    <row r="794" spans="24:27">
      <c r="X794">
        <f t="shared" si="37"/>
        <v>0</v>
      </c>
      <c r="Y794" s="4">
        <f ca="1"/>
        <v>0</v>
      </c>
      <c r="Z794" s="4">
        <v>4.2863326436560726E-102</v>
      </c>
      <c r="AA794" s="13">
        <v>0</v>
      </c>
    </row>
    <row r="795" spans="24:27">
      <c r="X795">
        <f t="shared" si="37"/>
        <v>0</v>
      </c>
      <c r="Y795" s="4">
        <f ca="1"/>
        <v>0</v>
      </c>
      <c r="Z795" s="4">
        <v>1.8430373631115114E-102</v>
      </c>
      <c r="AA795" s="13">
        <v>0</v>
      </c>
    </row>
    <row r="796" spans="24:27">
      <c r="X796">
        <f t="shared" si="37"/>
        <v>0</v>
      </c>
      <c r="Y796" s="4">
        <f ca="1"/>
        <v>0</v>
      </c>
      <c r="Z796" s="4">
        <v>7.9107104001324393E-103</v>
      </c>
      <c r="AA796" s="13">
        <v>0</v>
      </c>
    </row>
    <row r="797" spans="24:27">
      <c r="X797">
        <f t="shared" si="37"/>
        <v>0</v>
      </c>
      <c r="Y797" s="4">
        <f ca="1"/>
        <v>0</v>
      </c>
      <c r="Z797" s="4">
        <v>3.3894552381873351E-103</v>
      </c>
      <c r="AA797" s="13">
        <v>0</v>
      </c>
    </row>
    <row r="798" spans="24:27">
      <c r="X798">
        <f t="shared" si="37"/>
        <v>0</v>
      </c>
      <c r="Y798" s="4">
        <f ca="1"/>
        <v>0</v>
      </c>
      <c r="Z798" s="4">
        <v>1.4496974762258411E-103</v>
      </c>
      <c r="AA798" s="13">
        <v>0</v>
      </c>
    </row>
    <row r="799" spans="24:27">
      <c r="X799">
        <f t="shared" si="37"/>
        <v>0</v>
      </c>
      <c r="Y799" s="4">
        <f ca="1"/>
        <v>0</v>
      </c>
      <c r="Z799" s="4">
        <v>6.1895335026996948E-104</v>
      </c>
      <c r="AA799" s="13">
        <v>0</v>
      </c>
    </row>
    <row r="800" spans="24:27">
      <c r="X800">
        <f t="shared" si="37"/>
        <v>0</v>
      </c>
      <c r="Y800" s="4">
        <f ca="1"/>
        <v>0</v>
      </c>
      <c r="Z800" s="4">
        <v>2.6379800134178581E-104</v>
      </c>
      <c r="AA800" s="13">
        <v>0</v>
      </c>
    </row>
    <row r="801" spans="24:27">
      <c r="X801">
        <f t="shared" si="37"/>
        <v>0</v>
      </c>
      <c r="Y801" s="4">
        <f ca="1"/>
        <v>0</v>
      </c>
      <c r="Z801" s="4">
        <v>1.1223236731192045E-104</v>
      </c>
      <c r="AA801" s="13">
        <v>0</v>
      </c>
    </row>
    <row r="802" spans="24:27">
      <c r="X802">
        <f t="shared" si="37"/>
        <v>0</v>
      </c>
      <c r="Y802" s="4">
        <f ca="1"/>
        <v>0</v>
      </c>
      <c r="Z802" s="4">
        <v>4.7664800404972574E-105</v>
      </c>
      <c r="AA802" s="13">
        <v>0</v>
      </c>
    </row>
    <row r="803" spans="24:27">
      <c r="X803">
        <f t="shared" si="37"/>
        <v>0</v>
      </c>
      <c r="Y803" s="4">
        <f ca="1"/>
        <v>0</v>
      </c>
      <c r="Z803" s="4">
        <v>2.0207400958458774E-105</v>
      </c>
      <c r="AA803" s="13">
        <v>0</v>
      </c>
    </row>
    <row r="804" spans="24:27">
      <c r="X804">
        <f t="shared" si="37"/>
        <v>0</v>
      </c>
      <c r="Y804" s="4">
        <f ca="1"/>
        <v>0</v>
      </c>
      <c r="Z804" s="4">
        <v>8.5517728448614075E-106</v>
      </c>
      <c r="AA804" s="13">
        <v>0</v>
      </c>
    </row>
    <row r="805" spans="24:27">
      <c r="X805">
        <f t="shared" si="37"/>
        <v>0</v>
      </c>
      <c r="Y805" s="4">
        <f ca="1"/>
        <v>0</v>
      </c>
      <c r="Z805" s="4">
        <v>3.6127246647214284E-106</v>
      </c>
      <c r="AA805" s="13">
        <v>0</v>
      </c>
    </row>
    <row r="806" spans="24:27">
      <c r="X806">
        <f t="shared" si="37"/>
        <v>0</v>
      </c>
      <c r="Y806" s="4">
        <f ca="1"/>
        <v>0</v>
      </c>
      <c r="Z806" s="4">
        <v>1.5235144383776179E-106</v>
      </c>
      <c r="AA806" s="13">
        <v>0</v>
      </c>
    </row>
    <row r="807" spans="24:27">
      <c r="X807">
        <f t="shared" si="37"/>
        <v>0</v>
      </c>
      <c r="Y807" s="4">
        <f ca="1"/>
        <v>0</v>
      </c>
      <c r="Z807" s="4">
        <v>6.4134436020103683E-107</v>
      </c>
      <c r="AA807" s="13">
        <v>0</v>
      </c>
    </row>
    <row r="808" spans="24:27">
      <c r="X808">
        <f t="shared" si="37"/>
        <v>0</v>
      </c>
      <c r="Y808" s="4">
        <f ca="1"/>
        <v>0</v>
      </c>
      <c r="Z808" s="4">
        <v>2.6950633225370636E-107</v>
      </c>
      <c r="AA808" s="13">
        <v>0</v>
      </c>
    </row>
    <row r="809" spans="24:27">
      <c r="X809">
        <f t="shared" si="37"/>
        <v>0</v>
      </c>
      <c r="Y809" s="4">
        <f ca="1"/>
        <v>0</v>
      </c>
      <c r="Z809" s="4">
        <v>1.130523640144834E-107</v>
      </c>
      <c r="AA809" s="13">
        <v>0</v>
      </c>
    </row>
    <row r="810" spans="24:27">
      <c r="X810">
        <f t="shared" si="37"/>
        <v>0</v>
      </c>
      <c r="Y810" s="4">
        <f ca="1"/>
        <v>0</v>
      </c>
      <c r="Z810" s="4">
        <v>4.7339459640017558E-108</v>
      </c>
      <c r="AA810" s="13">
        <v>0</v>
      </c>
    </row>
    <row r="811" spans="24:27">
      <c r="X811">
        <f t="shared" si="37"/>
        <v>0</v>
      </c>
      <c r="Y811" s="4">
        <f ca="1"/>
        <v>0</v>
      </c>
      <c r="Z811" s="4">
        <v>1.9787909292991845E-108</v>
      </c>
      <c r="AA811" s="13">
        <v>0</v>
      </c>
    </row>
    <row r="812" spans="24:27">
      <c r="X812">
        <f t="shared" si="37"/>
        <v>0</v>
      </c>
      <c r="Y812" s="4">
        <f ca="1"/>
        <v>0</v>
      </c>
      <c r="Z812" s="4">
        <v>8.2567566487465621E-109</v>
      </c>
      <c r="AA812" s="13">
        <v>0</v>
      </c>
    </row>
    <row r="813" spans="24:27">
      <c r="X813">
        <f t="shared" si="37"/>
        <v>0</v>
      </c>
      <c r="Y813" s="4">
        <f ca="1"/>
        <v>0</v>
      </c>
      <c r="Z813" s="4">
        <v>3.4391570704814068E-109</v>
      </c>
      <c r="AA813" s="13">
        <v>0</v>
      </c>
    </row>
    <row r="814" spans="24:27">
      <c r="X814">
        <f t="shared" si="37"/>
        <v>0</v>
      </c>
      <c r="Y814" s="4">
        <f ca="1"/>
        <v>0</v>
      </c>
      <c r="Z814" s="4">
        <v>1.4299718313189237E-109</v>
      </c>
      <c r="AA814" s="13">
        <v>0</v>
      </c>
    </row>
    <row r="815" spans="24:27">
      <c r="X815">
        <f t="shared" si="37"/>
        <v>0</v>
      </c>
      <c r="Y815" s="4">
        <f ca="1"/>
        <v>0</v>
      </c>
      <c r="Z815" s="4">
        <v>5.9352072995663351E-110</v>
      </c>
      <c r="AA815" s="13">
        <v>0</v>
      </c>
    </row>
    <row r="816" spans="24:27">
      <c r="X816">
        <f t="shared" si="37"/>
        <v>0</v>
      </c>
      <c r="Y816" s="4">
        <f ca="1"/>
        <v>0</v>
      </c>
      <c r="Z816" s="4">
        <v>2.4591059082296824E-110</v>
      </c>
      <c r="AA816" s="13">
        <v>0</v>
      </c>
    </row>
    <row r="817" spans="24:27">
      <c r="X817">
        <f t="shared" si="37"/>
        <v>0</v>
      </c>
      <c r="Y817" s="4">
        <f ca="1"/>
        <v>0</v>
      </c>
      <c r="Z817" s="4">
        <v>1.0170715324430161E-110</v>
      </c>
      <c r="AA817" s="13">
        <v>0</v>
      </c>
    </row>
    <row r="818" spans="24:27">
      <c r="X818">
        <f t="shared" si="37"/>
        <v>0</v>
      </c>
      <c r="Y818" s="4">
        <f ca="1"/>
        <v>0</v>
      </c>
      <c r="Z818" s="4">
        <v>4.1991238277071227E-111</v>
      </c>
      <c r="AA818" s="13">
        <v>0</v>
      </c>
    </row>
    <row r="819" spans="24:27">
      <c r="X819">
        <f t="shared" si="37"/>
        <v>0</v>
      </c>
      <c r="Y819" s="4">
        <f ca="1"/>
        <v>0</v>
      </c>
      <c r="Z819" s="4">
        <v>1.7306082728889266E-111</v>
      </c>
      <c r="AA819" s="13">
        <v>0</v>
      </c>
    </row>
    <row r="820" spans="24:27">
      <c r="X820">
        <f t="shared" si="37"/>
        <v>0</v>
      </c>
      <c r="Y820" s="4">
        <f ca="1"/>
        <v>0</v>
      </c>
      <c r="Z820" s="4">
        <v>7.119865231396943E-112</v>
      </c>
      <c r="AA820" s="13">
        <v>0</v>
      </c>
    </row>
    <row r="821" spans="24:27">
      <c r="X821">
        <f t="shared" si="37"/>
        <v>0</v>
      </c>
      <c r="Y821" s="4">
        <f ca="1"/>
        <v>0</v>
      </c>
      <c r="Z821" s="4">
        <v>2.9240020183603451E-112</v>
      </c>
      <c r="AA821" s="13">
        <v>0</v>
      </c>
    </row>
    <row r="822" spans="24:27">
      <c r="X822">
        <f t="shared" si="37"/>
        <v>0</v>
      </c>
      <c r="Y822" s="4">
        <f ca="1"/>
        <v>0</v>
      </c>
      <c r="Z822" s="4">
        <v>1.1987164176770937E-112</v>
      </c>
      <c r="AA822" s="13">
        <v>0</v>
      </c>
    </row>
    <row r="823" spans="24:27">
      <c r="X823">
        <f t="shared" si="37"/>
        <v>0</v>
      </c>
      <c r="Y823" s="4">
        <f ca="1"/>
        <v>0</v>
      </c>
      <c r="Z823" s="4">
        <v>4.9055547002340257E-113</v>
      </c>
      <c r="AA823" s="13">
        <v>0</v>
      </c>
    </row>
    <row r="824" spans="24:27">
      <c r="X824">
        <f t="shared" si="37"/>
        <v>0</v>
      </c>
      <c r="Y824" s="4">
        <f ca="1"/>
        <v>0</v>
      </c>
      <c r="Z824" s="4">
        <v>2.0039767069394485E-113</v>
      </c>
      <c r="AA824" s="13">
        <v>0</v>
      </c>
    </row>
    <row r="825" spans="24:27">
      <c r="X825">
        <f t="shared" si="37"/>
        <v>0</v>
      </c>
      <c r="Y825" s="4">
        <f ca="1"/>
        <v>0</v>
      </c>
      <c r="Z825" s="4">
        <v>8.1720325228891953E-114</v>
      </c>
      <c r="AA825" s="13">
        <v>0</v>
      </c>
    </row>
    <row r="826" spans="24:27">
      <c r="X826">
        <f t="shared" si="37"/>
        <v>0</v>
      </c>
      <c r="Y826" s="4">
        <f ca="1"/>
        <v>0</v>
      </c>
      <c r="Z826" s="4">
        <v>3.326598348454981E-114</v>
      </c>
      <c r="AA826" s="13">
        <v>0</v>
      </c>
    </row>
    <row r="827" spans="24:27">
      <c r="X827">
        <f t="shared" si="37"/>
        <v>0</v>
      </c>
      <c r="Y827" s="4">
        <f ca="1"/>
        <v>0</v>
      </c>
      <c r="Z827" s="4">
        <v>1.3517721865790002E-114</v>
      </c>
      <c r="AA827" s="13">
        <v>0</v>
      </c>
    </row>
    <row r="828" spans="24:27">
      <c r="X828">
        <f t="shared" si="37"/>
        <v>0</v>
      </c>
      <c r="Y828" s="4">
        <f ca="1"/>
        <v>0</v>
      </c>
      <c r="Z828" s="4">
        <v>5.4832682941761877E-115</v>
      </c>
      <c r="AA828" s="13">
        <v>0</v>
      </c>
    </row>
    <row r="829" spans="24:27">
      <c r="X829">
        <f t="shared" si="37"/>
        <v>0</v>
      </c>
      <c r="Y829" s="4">
        <f ca="1"/>
        <v>0</v>
      </c>
      <c r="Z829" s="4">
        <v>2.2202829854302352E-115</v>
      </c>
      <c r="AA829" s="13">
        <v>0</v>
      </c>
    </row>
    <row r="830" spans="24:27">
      <c r="X830">
        <f t="shared" si="37"/>
        <v>0</v>
      </c>
      <c r="Y830" s="4">
        <f ca="1"/>
        <v>0</v>
      </c>
      <c r="Z830" s="4">
        <v>8.9744946642543951E-116</v>
      </c>
      <c r="AA830" s="13">
        <v>0</v>
      </c>
    </row>
    <row r="831" spans="24:27">
      <c r="X831">
        <f t="shared" si="37"/>
        <v>0</v>
      </c>
      <c r="Y831" s="4">
        <f ca="1"/>
        <v>0</v>
      </c>
      <c r="Z831" s="4">
        <v>3.6211332686490266E-116</v>
      </c>
      <c r="AA831" s="13">
        <v>0</v>
      </c>
    </row>
    <row r="832" spans="24:27">
      <c r="X832">
        <f t="shared" si="37"/>
        <v>0</v>
      </c>
      <c r="Y832" s="4">
        <f ca="1"/>
        <v>0</v>
      </c>
      <c r="Z832" s="4">
        <v>1.4585181530723707E-116</v>
      </c>
      <c r="AA832" s="13">
        <v>0</v>
      </c>
    </row>
    <row r="833" spans="24:27">
      <c r="X833">
        <f t="shared" si="37"/>
        <v>0</v>
      </c>
      <c r="Y833" s="4">
        <f ca="1"/>
        <v>0</v>
      </c>
      <c r="Z833" s="4">
        <v>5.8642434102810379E-117</v>
      </c>
      <c r="AA833" s="13">
        <v>0</v>
      </c>
    </row>
    <row r="834" spans="24:27">
      <c r="X834">
        <f t="shared" si="37"/>
        <v>0</v>
      </c>
      <c r="Y834" s="4">
        <f ca="1"/>
        <v>0</v>
      </c>
      <c r="Z834" s="4">
        <v>2.3536666366191334E-117</v>
      </c>
      <c r="AA834" s="13">
        <v>0</v>
      </c>
    </row>
    <row r="835" spans="24:27">
      <c r="X835">
        <f t="shared" si="37"/>
        <v>0</v>
      </c>
      <c r="Y835" s="4">
        <f ca="1"/>
        <v>0</v>
      </c>
      <c r="Z835" s="4">
        <v>9.4299788960585134E-118</v>
      </c>
      <c r="AA835" s="13">
        <v>0</v>
      </c>
    </row>
    <row r="836" spans="24:27">
      <c r="X836">
        <f t="shared" si="37"/>
        <v>0</v>
      </c>
      <c r="Y836" s="4">
        <f ca="1"/>
        <v>0</v>
      </c>
      <c r="Z836" s="4">
        <v>3.7714581335903363E-118</v>
      </c>
      <c r="AA836" s="13">
        <v>0</v>
      </c>
    </row>
    <row r="837" spans="24:27">
      <c r="X837">
        <f t="shared" ref="X837:X882" si="38">W837*$C$21</f>
        <v>0</v>
      </c>
      <c r="Y837" s="4">
        <f ca="1"/>
        <v>0</v>
      </c>
      <c r="Z837" s="4">
        <v>1.5057076461119082E-118</v>
      </c>
      <c r="AA837" s="13">
        <v>0</v>
      </c>
    </row>
    <row r="838" spans="24:27">
      <c r="X838">
        <f t="shared" si="38"/>
        <v>0</v>
      </c>
      <c r="Y838" s="4">
        <f ca="1"/>
        <v>0</v>
      </c>
      <c r="Z838" s="4">
        <v>6.0007399846131532E-119</v>
      </c>
      <c r="AA838" s="13">
        <v>0</v>
      </c>
    </row>
    <row r="839" spans="24:27">
      <c r="X839">
        <f t="shared" si="38"/>
        <v>0</v>
      </c>
      <c r="Y839" s="4">
        <f ca="1"/>
        <v>0</v>
      </c>
      <c r="Z839" s="4">
        <v>2.387271121373946E-119</v>
      </c>
      <c r="AA839" s="13">
        <v>0</v>
      </c>
    </row>
    <row r="840" spans="24:27">
      <c r="X840">
        <f t="shared" si="38"/>
        <v>0</v>
      </c>
      <c r="Y840" s="4">
        <f ca="1"/>
        <v>0</v>
      </c>
      <c r="Z840" s="4">
        <v>9.4805046644880777E-120</v>
      </c>
      <c r="AA840" s="13">
        <v>0</v>
      </c>
    </row>
    <row r="841" spans="24:27">
      <c r="X841">
        <f t="shared" si="38"/>
        <v>0</v>
      </c>
      <c r="Y841" s="4">
        <f ca="1"/>
        <v>0</v>
      </c>
      <c r="Z841" s="4">
        <v>3.7583215855653368E-120</v>
      </c>
      <c r="AA841" s="13">
        <v>0</v>
      </c>
    </row>
    <row r="842" spans="24:27">
      <c r="X842">
        <f t="shared" si="38"/>
        <v>0</v>
      </c>
      <c r="Y842" s="4">
        <f ca="1"/>
        <v>0</v>
      </c>
      <c r="Z842" s="4">
        <v>1.48726783195249E-120</v>
      </c>
      <c r="AA842" s="13">
        <v>0</v>
      </c>
    </row>
    <row r="843" spans="24:27">
      <c r="X843">
        <f t="shared" si="38"/>
        <v>0</v>
      </c>
      <c r="Y843" s="4">
        <f ca="1"/>
        <v>0</v>
      </c>
      <c r="Z843" s="4">
        <v>5.8751260595117415E-121</v>
      </c>
      <c r="AA843" s="13">
        <v>0</v>
      </c>
    </row>
    <row r="844" spans="24:27">
      <c r="X844">
        <f t="shared" si="38"/>
        <v>0</v>
      </c>
      <c r="Y844" s="4">
        <f ca="1"/>
        <v>0</v>
      </c>
      <c r="Z844" s="4">
        <v>2.3167434653370036E-121</v>
      </c>
      <c r="AA844" s="13">
        <v>0</v>
      </c>
    </row>
    <row r="845" spans="24:27">
      <c r="X845">
        <f t="shared" si="38"/>
        <v>0</v>
      </c>
      <c r="Y845" s="4">
        <f ca="1"/>
        <v>0</v>
      </c>
      <c r="Z845" s="4">
        <v>9.1195088798462281E-122</v>
      </c>
      <c r="AA845" s="13">
        <v>0</v>
      </c>
    </row>
    <row r="846" spans="24:27">
      <c r="X846">
        <f t="shared" si="38"/>
        <v>0</v>
      </c>
      <c r="Y846" s="4">
        <f ca="1"/>
        <v>0</v>
      </c>
      <c r="Z846" s="4">
        <v>3.5834198504965162E-122</v>
      </c>
      <c r="AA846" s="13">
        <v>0</v>
      </c>
    </row>
    <row r="847" spans="24:27">
      <c r="X847">
        <f t="shared" si="38"/>
        <v>0</v>
      </c>
      <c r="Y847" s="4">
        <f ca="1"/>
        <v>0</v>
      </c>
      <c r="Z847" s="4">
        <v>1.405583578734848E-122</v>
      </c>
      <c r="AA847" s="13">
        <v>0</v>
      </c>
    </row>
    <row r="848" spans="24:27">
      <c r="X848">
        <f t="shared" si="38"/>
        <v>0</v>
      </c>
      <c r="Y848" s="4">
        <f ca="1"/>
        <v>0</v>
      </c>
      <c r="Z848" s="4">
        <v>5.5036192807339713E-123</v>
      </c>
      <c r="AA848" s="13">
        <v>0</v>
      </c>
    </row>
    <row r="849" spans="24:27">
      <c r="X849">
        <f t="shared" si="38"/>
        <v>0</v>
      </c>
      <c r="Y849" s="4">
        <f ca="1"/>
        <v>0</v>
      </c>
      <c r="Z849" s="4">
        <v>2.1511605045521423E-123</v>
      </c>
      <c r="AA849" s="13">
        <v>0</v>
      </c>
    </row>
    <row r="850" spans="24:27">
      <c r="X850">
        <f t="shared" si="38"/>
        <v>0</v>
      </c>
      <c r="Y850" s="4">
        <f ca="1"/>
        <v>0</v>
      </c>
      <c r="Z850" s="4">
        <v>8.393246258128691E-124</v>
      </c>
      <c r="AA850" s="13">
        <v>0</v>
      </c>
    </row>
    <row r="851" spans="24:27">
      <c r="X851">
        <f t="shared" si="38"/>
        <v>0</v>
      </c>
      <c r="Y851" s="4">
        <f ca="1"/>
        <v>0</v>
      </c>
      <c r="Z851" s="4">
        <v>3.2690369350839079E-124</v>
      </c>
      <c r="AA851" s="13">
        <v>0</v>
      </c>
    </row>
    <row r="852" spans="24:27">
      <c r="X852">
        <f t="shared" si="38"/>
        <v>0</v>
      </c>
      <c r="Y852" s="4">
        <f ca="1"/>
        <v>0</v>
      </c>
      <c r="Z852" s="4">
        <v>1.2709907674440949E-124</v>
      </c>
      <c r="AA852" s="13">
        <v>0</v>
      </c>
    </row>
    <row r="853" spans="24:27">
      <c r="X853">
        <f t="shared" si="38"/>
        <v>0</v>
      </c>
      <c r="Y853" s="4">
        <f ca="1"/>
        <v>0</v>
      </c>
      <c r="Z853" s="4">
        <v>4.9328472228856489E-125</v>
      </c>
      <c r="AA853" s="13">
        <v>0</v>
      </c>
    </row>
    <row r="854" spans="24:27">
      <c r="X854">
        <f t="shared" si="38"/>
        <v>0</v>
      </c>
      <c r="Y854" s="4">
        <f ca="1"/>
        <v>0</v>
      </c>
      <c r="Z854" s="4">
        <v>1.9111097550984551E-125</v>
      </c>
      <c r="AA854" s="13">
        <v>0</v>
      </c>
    </row>
    <row r="855" spans="24:27">
      <c r="X855">
        <f t="shared" si="38"/>
        <v>0</v>
      </c>
      <c r="Y855" s="4">
        <f ca="1"/>
        <v>0</v>
      </c>
      <c r="Z855" s="4">
        <v>7.3910524345813684E-126</v>
      </c>
      <c r="AA855" s="13">
        <v>0</v>
      </c>
    </row>
    <row r="856" spans="24:27">
      <c r="X856">
        <f t="shared" si="38"/>
        <v>0</v>
      </c>
      <c r="Y856" s="4">
        <f ca="1"/>
        <v>0</v>
      </c>
      <c r="Z856" s="4">
        <v>2.8533800565096172E-126</v>
      </c>
      <c r="AA856" s="13">
        <v>0</v>
      </c>
    </row>
    <row r="857" spans="24:27">
      <c r="X857">
        <f t="shared" si="38"/>
        <v>0</v>
      </c>
      <c r="Y857" s="4">
        <f ca="1"/>
        <v>0</v>
      </c>
      <c r="Z857" s="4">
        <v>1.0996276161283019E-126</v>
      </c>
      <c r="AA857" s="13">
        <v>0</v>
      </c>
    </row>
    <row r="858" spans="24:27">
      <c r="X858">
        <f t="shared" si="38"/>
        <v>0</v>
      </c>
      <c r="Y858" s="4">
        <f ca="1"/>
        <v>0</v>
      </c>
      <c r="Z858" s="4">
        <v>4.2302333828176893E-127</v>
      </c>
      <c r="AA858" s="13">
        <v>0</v>
      </c>
    </row>
    <row r="859" spans="24:27">
      <c r="X859">
        <f t="shared" si="38"/>
        <v>0</v>
      </c>
      <c r="Y859" s="4">
        <f ca="1"/>
        <v>0</v>
      </c>
      <c r="Z859" s="4">
        <v>1.6244849262008621E-127</v>
      </c>
      <c r="AA859" s="13">
        <v>0</v>
      </c>
    </row>
    <row r="860" spans="24:27">
      <c r="X860">
        <f t="shared" si="38"/>
        <v>0</v>
      </c>
      <c r="Y860" s="4">
        <f ca="1"/>
        <v>0</v>
      </c>
      <c r="Z860" s="4">
        <v>6.2272988169360573E-128</v>
      </c>
      <c r="AA860" s="13">
        <v>0</v>
      </c>
    </row>
    <row r="861" spans="24:27">
      <c r="X861">
        <f t="shared" si="38"/>
        <v>0</v>
      </c>
      <c r="Y861" s="4">
        <f ca="1"/>
        <v>0</v>
      </c>
      <c r="Z861" s="4">
        <v>2.3829579720982165E-128</v>
      </c>
      <c r="AA861" s="13">
        <v>0</v>
      </c>
    </row>
    <row r="862" spans="24:27">
      <c r="X862">
        <f t="shared" si="38"/>
        <v>0</v>
      </c>
      <c r="Y862" s="4">
        <f ca="1"/>
        <v>0</v>
      </c>
      <c r="Z862" s="4">
        <v>9.1026052961770183E-129</v>
      </c>
      <c r="AA862" s="13">
        <v>0</v>
      </c>
    </row>
    <row r="863" spans="24:27">
      <c r="X863">
        <f t="shared" si="38"/>
        <v>0</v>
      </c>
      <c r="Y863" s="4">
        <f ca="1"/>
        <v>0</v>
      </c>
      <c r="Z863" s="4">
        <v>3.4709446352137806E-129</v>
      </c>
      <c r="AA863" s="13">
        <v>0</v>
      </c>
    </row>
    <row r="864" spans="24:27">
      <c r="X864">
        <f t="shared" si="38"/>
        <v>0</v>
      </c>
      <c r="Y864" s="4">
        <f ca="1"/>
        <v>0</v>
      </c>
      <c r="Z864" s="4">
        <v>1.3211809476965994E-129</v>
      </c>
      <c r="AA864" s="13">
        <v>0</v>
      </c>
    </row>
    <row r="865" spans="24:27">
      <c r="X865">
        <f t="shared" si="38"/>
        <v>0</v>
      </c>
      <c r="Y865" s="4">
        <f ca="1"/>
        <v>0</v>
      </c>
      <c r="Z865" s="4">
        <v>5.0200674677863357E-130</v>
      </c>
      <c r="AA865" s="13">
        <v>0</v>
      </c>
    </row>
    <row r="866" spans="24:27">
      <c r="X866">
        <f t="shared" si="38"/>
        <v>0</v>
      </c>
      <c r="Y866" s="4">
        <f ca="1"/>
        <v>0</v>
      </c>
      <c r="Z866" s="4">
        <v>1.9040986106856503E-130</v>
      </c>
      <c r="AA866" s="13">
        <v>0</v>
      </c>
    </row>
    <row r="867" spans="24:27">
      <c r="X867">
        <f t="shared" si="38"/>
        <v>0</v>
      </c>
      <c r="Y867" s="4">
        <f ca="1"/>
        <v>0</v>
      </c>
      <c r="Z867" s="4">
        <v>7.2094468377326003E-131</v>
      </c>
      <c r="AA867" s="13">
        <v>0</v>
      </c>
    </row>
    <row r="868" spans="24:27">
      <c r="X868">
        <f t="shared" si="38"/>
        <v>0</v>
      </c>
      <c r="Y868" s="4">
        <f ca="1"/>
        <v>0</v>
      </c>
      <c r="Z868" s="4">
        <v>2.7248780556793119E-131</v>
      </c>
      <c r="AA868" s="13">
        <v>0</v>
      </c>
    </row>
    <row r="869" spans="24:27">
      <c r="X869">
        <f t="shared" si="38"/>
        <v>0</v>
      </c>
      <c r="Y869" s="4">
        <f ca="1"/>
        <v>0</v>
      </c>
      <c r="Z869" s="4">
        <v>1.0280750372050625E-131</v>
      </c>
      <c r="AA869" s="13">
        <v>0</v>
      </c>
    </row>
    <row r="870" spans="24:27">
      <c r="X870">
        <f t="shared" si="38"/>
        <v>0</v>
      </c>
      <c r="Y870" s="4">
        <f ca="1"/>
        <v>0</v>
      </c>
      <c r="Z870" s="4">
        <v>3.8719983783261943E-132</v>
      </c>
      <c r="AA870" s="13">
        <v>0</v>
      </c>
    </row>
    <row r="871" spans="24:27">
      <c r="X871">
        <f t="shared" si="38"/>
        <v>0</v>
      </c>
      <c r="Y871" s="4">
        <f ca="1"/>
        <v>0</v>
      </c>
      <c r="Z871" s="4">
        <v>1.4557209230874523E-132</v>
      </c>
      <c r="AA871" s="13">
        <v>0</v>
      </c>
    </row>
    <row r="872" spans="24:27">
      <c r="X872">
        <f t="shared" si="38"/>
        <v>0</v>
      </c>
      <c r="Y872" s="4">
        <f ca="1"/>
        <v>0</v>
      </c>
      <c r="Z872" s="4">
        <v>5.4632827940118427E-133</v>
      </c>
      <c r="AA872" s="13">
        <v>0</v>
      </c>
    </row>
    <row r="873" spans="24:27">
      <c r="X873">
        <f t="shared" si="38"/>
        <v>0</v>
      </c>
      <c r="Y873" s="4">
        <f ca="1"/>
        <v>0</v>
      </c>
      <c r="Z873" s="4">
        <v>2.046736022501066E-133</v>
      </c>
      <c r="AA873" s="13">
        <v>0</v>
      </c>
    </row>
    <row r="874" spans="24:27">
      <c r="X874">
        <f t="shared" si="38"/>
        <v>0</v>
      </c>
      <c r="Y874" s="4">
        <f ca="1"/>
        <v>0</v>
      </c>
      <c r="Z874" s="4">
        <v>7.6542487998214732E-134</v>
      </c>
      <c r="AA874" s="13">
        <v>0</v>
      </c>
    </row>
    <row r="875" spans="24:27">
      <c r="X875">
        <f t="shared" si="38"/>
        <v>0</v>
      </c>
      <c r="Y875" s="4">
        <f ca="1"/>
        <v>0</v>
      </c>
      <c r="Z875" s="4">
        <v>2.8574319804683385E-134</v>
      </c>
      <c r="AA875" s="13">
        <v>0</v>
      </c>
    </row>
    <row r="876" spans="24:27">
      <c r="X876">
        <f t="shared" si="38"/>
        <v>0</v>
      </c>
      <c r="Y876" s="4">
        <f ca="1"/>
        <v>0</v>
      </c>
      <c r="Z876" s="4">
        <v>1.0648337485742074E-134</v>
      </c>
      <c r="AA876" s="13">
        <v>0</v>
      </c>
    </row>
    <row r="877" spans="24:27">
      <c r="X877">
        <f t="shared" si="38"/>
        <v>0</v>
      </c>
      <c r="Y877" s="4">
        <f ca="1"/>
        <v>0</v>
      </c>
      <c r="Z877" s="4">
        <v>3.9611408745109171E-135</v>
      </c>
      <c r="AA877" s="13">
        <v>0</v>
      </c>
    </row>
    <row r="878" spans="24:27">
      <c r="X878">
        <f t="shared" si="38"/>
        <v>0</v>
      </c>
      <c r="Y878" s="4">
        <f ca="1"/>
        <v>0</v>
      </c>
      <c r="Z878" s="4">
        <v>1.4709277415270927E-135</v>
      </c>
      <c r="AA878" s="13">
        <v>0</v>
      </c>
    </row>
    <row r="879" spans="24:27">
      <c r="X879">
        <f t="shared" si="38"/>
        <v>0</v>
      </c>
      <c r="Y879" s="4">
        <f ca="1"/>
        <v>0</v>
      </c>
      <c r="Z879" s="4">
        <v>5.4524909654199174E-136</v>
      </c>
      <c r="AA879" s="13">
        <v>0</v>
      </c>
    </row>
    <row r="880" spans="24:27">
      <c r="X880">
        <f t="shared" si="38"/>
        <v>0</v>
      </c>
      <c r="Y880" s="4">
        <f ca="1"/>
        <v>0</v>
      </c>
      <c r="Z880" s="4">
        <v>2.0175817028455334E-136</v>
      </c>
      <c r="AA880" s="13">
        <v>0</v>
      </c>
    </row>
    <row r="881" spans="24:27">
      <c r="X881">
        <f t="shared" si="38"/>
        <v>0</v>
      </c>
      <c r="Y881" s="4">
        <f ca="1"/>
        <v>0</v>
      </c>
      <c r="Z881" s="4">
        <v>7.4524635764654363E-137</v>
      </c>
      <c r="AA881" s="13">
        <v>0</v>
      </c>
    </row>
    <row r="882" spans="24:27">
      <c r="X882">
        <f t="shared" si="38"/>
        <v>0</v>
      </c>
      <c r="Y882" s="4">
        <f ca="1"/>
        <v>0</v>
      </c>
      <c r="Z882" s="4">
        <v>2.7479013922136575E-137</v>
      </c>
      <c r="AA882" s="13">
        <v>0</v>
      </c>
    </row>
    <row r="883" spans="24:27">
      <c r="Y883" s="4">
        <f ca="1"/>
        <v>0</v>
      </c>
      <c r="Z883" s="4">
        <v>1.0114279990514642E-137</v>
      </c>
      <c r="AA883" s="13">
        <v>0</v>
      </c>
    </row>
    <row r="884" spans="24:27">
      <c r="Y884" s="4">
        <f ca="1"/>
        <v>0</v>
      </c>
      <c r="Z884" s="4">
        <v>3.7162193535250377E-138</v>
      </c>
      <c r="AA884" s="13">
        <v>0</v>
      </c>
    </row>
    <row r="885" spans="24:27">
      <c r="Y885" s="4">
        <f ca="1"/>
        <v>0</v>
      </c>
      <c r="Z885" s="4">
        <v>1.363013777937015E-138</v>
      </c>
      <c r="AA885" s="13">
        <v>0</v>
      </c>
    </row>
    <row r="886" spans="24:27">
      <c r="Y886" s="4">
        <f ca="1"/>
        <v>0</v>
      </c>
      <c r="Z886" s="4">
        <v>4.9903577743368249E-139</v>
      </c>
      <c r="AA886" s="13">
        <v>0</v>
      </c>
    </row>
    <row r="887" spans="24:27">
      <c r="Y887" s="4">
        <f ca="1"/>
        <v>0</v>
      </c>
      <c r="Z887" s="4">
        <v>1.8238774186299021E-139</v>
      </c>
      <c r="AA887" s="13">
        <v>0</v>
      </c>
    </row>
    <row r="888" spans="24:27">
      <c r="Y888" s="4">
        <f ca="1"/>
        <v>0</v>
      </c>
      <c r="Z888" s="4">
        <v>6.654143039881828E-140</v>
      </c>
      <c r="AA888" s="13">
        <v>0</v>
      </c>
    </row>
    <row r="889" spans="24:27">
      <c r="Y889" s="4">
        <f ca="1"/>
        <v>0</v>
      </c>
      <c r="Z889" s="4">
        <v>2.4233778610960636E-140</v>
      </c>
      <c r="AA889" s="13">
        <v>0</v>
      </c>
    </row>
    <row r="890" spans="24:27">
      <c r="Y890" s="4">
        <f ca="1"/>
        <v>0</v>
      </c>
      <c r="Z890" s="4">
        <v>8.8101368156301543E-141</v>
      </c>
      <c r="AA890" s="13">
        <v>0</v>
      </c>
    </row>
    <row r="891" spans="24:27">
      <c r="Y891" s="4">
        <f ca="1"/>
        <v>0</v>
      </c>
      <c r="Z891" s="4">
        <v>3.1972506031788386E-141</v>
      </c>
      <c r="AA891" s="13">
        <v>0</v>
      </c>
    </row>
    <row r="892" spans="24:27">
      <c r="Y892" s="4">
        <f ca="1"/>
        <v>0</v>
      </c>
      <c r="Z892" s="4">
        <v>1.1582523955134762E-141</v>
      </c>
      <c r="AA892" s="13">
        <v>0</v>
      </c>
    </row>
    <row r="893" spans="24:27">
      <c r="Y893" s="4">
        <f ca="1"/>
        <v>0</v>
      </c>
      <c r="Z893" s="4">
        <v>4.1885358369036556E-142</v>
      </c>
      <c r="AA893" s="13">
        <v>0</v>
      </c>
    </row>
    <row r="894" spans="24:27">
      <c r="Y894" s="4">
        <f ca="1"/>
        <v>0</v>
      </c>
      <c r="Z894" s="4">
        <v>1.5120068509805527E-142</v>
      </c>
      <c r="AA894" s="13">
        <v>0</v>
      </c>
    </row>
    <row r="895" spans="24:27">
      <c r="Y895" s="4">
        <f ca="1"/>
        <v>0</v>
      </c>
      <c r="Z895" s="4">
        <v>5.4485102563425086E-143</v>
      </c>
      <c r="AA895" s="13">
        <v>0</v>
      </c>
    </row>
    <row r="896" spans="24:27">
      <c r="Y896" s="4">
        <f ca="1"/>
        <v>0</v>
      </c>
      <c r="Z896" s="4">
        <v>1.9599016225830649E-143</v>
      </c>
      <c r="AA896" s="13">
        <v>0</v>
      </c>
    </row>
    <row r="897" spans="25:27">
      <c r="Y897" s="4">
        <f ca="1"/>
        <v>0</v>
      </c>
      <c r="Z897" s="4">
        <v>7.0375785237309273E-144</v>
      </c>
      <c r="AA897" s="13">
        <v>0</v>
      </c>
    </row>
    <row r="898" spans="25:27">
      <c r="Y898" s="4">
        <f ca="1"/>
        <v>0</v>
      </c>
      <c r="Z898" s="4">
        <v>2.5225786277717757E-144</v>
      </c>
      <c r="AA898" s="13">
        <v>0</v>
      </c>
    </row>
    <row r="899" spans="25:27">
      <c r="Y899" s="4">
        <f ca="1"/>
        <v>0</v>
      </c>
      <c r="Z899" s="4">
        <v>9.0260688683844312E-145</v>
      </c>
      <c r="AA899" s="13">
        <v>0</v>
      </c>
    </row>
    <row r="900" spans="25:27">
      <c r="Y900" s="4">
        <f ca="1"/>
        <v>0</v>
      </c>
      <c r="Z900" s="4">
        <v>3.2239258318687553E-145</v>
      </c>
      <c r="AA900" s="13">
        <v>0</v>
      </c>
    </row>
    <row r="901" spans="25:27">
      <c r="Y901" s="4">
        <f ca="1"/>
        <v>0</v>
      </c>
      <c r="Z901" s="4">
        <v>1.1494865797678579E-145</v>
      </c>
      <c r="AA901" s="13">
        <v>0</v>
      </c>
    </row>
    <row r="902" spans="25:27">
      <c r="Y902" s="4">
        <f ca="1"/>
        <v>0</v>
      </c>
      <c r="Z902" s="4">
        <v>4.0912425554487297E-146</v>
      </c>
      <c r="AA902" s="13">
        <v>0</v>
      </c>
    </row>
    <row r="903" spans="25:27">
      <c r="Y903" s="4">
        <f ca="1"/>
        <v>0</v>
      </c>
      <c r="Z903" s="4">
        <v>1.4535802254401695E-146</v>
      </c>
      <c r="AA903" s="13">
        <v>0</v>
      </c>
    </row>
    <row r="904" spans="25:27">
      <c r="Y904" s="4">
        <f ca="1"/>
        <v>0</v>
      </c>
      <c r="Z904" s="4">
        <v>5.1553153400421727E-147</v>
      </c>
      <c r="AA904" s="13">
        <v>0</v>
      </c>
    </row>
    <row r="905" spans="25:27">
      <c r="Y905" s="4">
        <f ca="1"/>
        <v>0</v>
      </c>
      <c r="Z905" s="4">
        <v>1.8251724774994695E-147</v>
      </c>
      <c r="AA905" s="13">
        <v>0</v>
      </c>
    </row>
    <row r="906" spans="25:27">
      <c r="Y906" s="4">
        <f ca="1"/>
        <v>0</v>
      </c>
      <c r="Z906" s="4">
        <v>6.4503759819709268E-148</v>
      </c>
      <c r="AA906" s="13">
        <v>0</v>
      </c>
    </row>
    <row r="907" spans="25:27">
      <c r="Y907" s="4">
        <f ca="1"/>
        <v>0</v>
      </c>
      <c r="Z907" s="4">
        <v>2.275613944880061E-148</v>
      </c>
      <c r="AA907" s="13">
        <v>0</v>
      </c>
    </row>
    <row r="908" spans="25:27">
      <c r="Y908" s="4">
        <f ca="1"/>
        <v>0</v>
      </c>
      <c r="Z908" s="4">
        <v>8.0139121499138149E-149</v>
      </c>
      <c r="AA908" s="13">
        <v>0</v>
      </c>
    </row>
    <row r="909" spans="25:27">
      <c r="Y909" s="4">
        <f ca="1"/>
        <v>0</v>
      </c>
      <c r="Z909" s="4">
        <v>2.8172344996126906E-149</v>
      </c>
      <c r="AA909" s="13">
        <v>0</v>
      </c>
    </row>
    <row r="910" spans="25:27">
      <c r="Y910" s="4">
        <f ca="1"/>
        <v>0</v>
      </c>
      <c r="Z910" s="4">
        <v>9.8863013576928943E-150</v>
      </c>
      <c r="AA910" s="13">
        <v>0</v>
      </c>
    </row>
    <row r="911" spans="25:27">
      <c r="Y911" s="4">
        <f ca="1"/>
        <v>0</v>
      </c>
      <c r="Z911" s="4">
        <v>3.4631963320579522E-150</v>
      </c>
      <c r="AA911" s="13">
        <v>0</v>
      </c>
    </row>
    <row r="912" spans="25:27">
      <c r="Y912" s="4">
        <f ca="1"/>
        <v>0</v>
      </c>
      <c r="Z912" s="4">
        <v>1.211024135235912E-150</v>
      </c>
      <c r="AA912" s="13">
        <v>0</v>
      </c>
    </row>
    <row r="913" spans="25:27">
      <c r="Y913" s="4">
        <f ca="1"/>
        <v>0</v>
      </c>
      <c r="Z913" s="4">
        <v>4.2272788590365319E-151</v>
      </c>
      <c r="AA913" s="13">
        <v>0</v>
      </c>
    </row>
    <row r="914" spans="25:27">
      <c r="Y914" s="4">
        <f ca="1"/>
        <v>0</v>
      </c>
      <c r="Z914" s="4">
        <v>1.4729954528550028E-151</v>
      </c>
      <c r="AA914" s="13">
        <v>0</v>
      </c>
    </row>
    <row r="915" spans="25:27">
      <c r="Y915" s="4">
        <f ca="1"/>
        <v>0</v>
      </c>
      <c r="Z915" s="4">
        <v>5.1235894174145181E-152</v>
      </c>
      <c r="AA915" s="13">
        <v>0</v>
      </c>
    </row>
    <row r="916" spans="25:27">
      <c r="Y916" s="4">
        <f ca="1"/>
        <v>0</v>
      </c>
      <c r="Z916" s="4">
        <v>1.7790151028130054E-152</v>
      </c>
      <c r="AA916" s="13">
        <v>0</v>
      </c>
    </row>
    <row r="917" spans="25:27">
      <c r="Y917" s="4">
        <f ca="1"/>
        <v>0</v>
      </c>
      <c r="Z917" s="4">
        <v>6.1661963140775433E-153</v>
      </c>
      <c r="AA917" s="13">
        <v>0</v>
      </c>
    </row>
    <row r="918" spans="25:27">
      <c r="Y918" s="4">
        <f ca="1"/>
        <v>0</v>
      </c>
      <c r="Z918" s="4">
        <v>2.1334744826291677E-153</v>
      </c>
      <c r="AA918" s="13">
        <v>0</v>
      </c>
    </row>
    <row r="919" spans="25:27">
      <c r="Y919" s="4">
        <f ca="1"/>
        <v>0</v>
      </c>
      <c r="Z919" s="4">
        <v>7.368684256727266E-154</v>
      </c>
      <c r="AA919" s="13">
        <v>0</v>
      </c>
    </row>
    <row r="920" spans="25:27">
      <c r="Y920" s="4">
        <f ca="1"/>
        <v>0</v>
      </c>
      <c r="Z920" s="4">
        <v>2.5405329259228161E-154</v>
      </c>
      <c r="AA920" s="13">
        <v>0</v>
      </c>
    </row>
    <row r="921" spans="25:27">
      <c r="Y921" s="4">
        <f ca="1"/>
        <v>0</v>
      </c>
      <c r="Z921" s="4">
        <v>8.7436364000876354E-155</v>
      </c>
      <c r="AA921" s="13">
        <v>0</v>
      </c>
    </row>
    <row r="922" spans="25:27">
      <c r="Y922" s="4">
        <f ca="1"/>
        <v>0</v>
      </c>
      <c r="Z922" s="4">
        <v>3.0039432819495377E-155</v>
      </c>
      <c r="AA922" s="13">
        <v>0</v>
      </c>
    </row>
    <row r="923" spans="25:27">
      <c r="Y923" s="4">
        <f ca="1"/>
        <v>0</v>
      </c>
      <c r="Z923" s="4">
        <v>1.0302052079151188E-155</v>
      </c>
      <c r="AA923" s="13">
        <v>0</v>
      </c>
    </row>
    <row r="924" spans="25:27">
      <c r="Y924" s="4">
        <f ca="1"/>
        <v>0</v>
      </c>
      <c r="Z924" s="4">
        <v>3.5268592103917533E-156</v>
      </c>
      <c r="AA924" s="13">
        <v>0</v>
      </c>
    </row>
    <row r="925" spans="25:27">
      <c r="Y925" s="4">
        <f ca="1"/>
        <v>0</v>
      </c>
      <c r="Z925" s="4">
        <v>1.2052714559650922E-156</v>
      </c>
      <c r="AA925" s="13">
        <v>0</v>
      </c>
    </row>
    <row r="926" spans="25:27">
      <c r="Y926" s="4">
        <f ca="1"/>
        <v>0</v>
      </c>
      <c r="Z926" s="4">
        <v>4.1116295777033739E-157</v>
      </c>
      <c r="AA926" s="13">
        <v>0</v>
      </c>
    </row>
    <row r="927" spans="25:27">
      <c r="Y927" s="4">
        <f ca="1"/>
        <v>0</v>
      </c>
      <c r="Z927" s="4">
        <v>1.4001528536840246E-157</v>
      </c>
      <c r="AA927" s="13">
        <v>0</v>
      </c>
    </row>
    <row r="928" spans="25:27">
      <c r="Y928" s="4">
        <f ca="1"/>
        <v>0</v>
      </c>
      <c r="Z928" s="4">
        <v>4.7595870320251929E-158</v>
      </c>
      <c r="AA928" s="13">
        <v>0</v>
      </c>
    </row>
    <row r="929" spans="25:27">
      <c r="Y929" s="4">
        <f ca="1"/>
        <v>0</v>
      </c>
      <c r="Z929" s="4">
        <v>1.6150852312711829E-158</v>
      </c>
      <c r="AA929" s="13">
        <v>0</v>
      </c>
    </row>
    <row r="930" spans="25:27">
      <c r="Y930" s="4">
        <f ca="1"/>
        <v>0</v>
      </c>
      <c r="Z930" s="4">
        <v>5.4708393999687227E-159</v>
      </c>
      <c r="AA930" s="13">
        <v>0</v>
      </c>
    </row>
    <row r="931" spans="25:27">
      <c r="Y931" s="4">
        <f ca="1"/>
        <v>0</v>
      </c>
      <c r="Z931" s="4">
        <v>1.8498854186217921E-159</v>
      </c>
      <c r="AA931" s="13">
        <v>0</v>
      </c>
    </row>
    <row r="932" spans="25:27">
      <c r="Y932" s="4">
        <f ca="1"/>
        <v>0</v>
      </c>
      <c r="Z932" s="4">
        <v>6.2440738612789243E-160</v>
      </c>
      <c r="AA932" s="13">
        <v>0</v>
      </c>
    </row>
    <row r="933" spans="25:27">
      <c r="Y933" s="4">
        <f ca="1"/>
        <v>0</v>
      </c>
      <c r="Z933" s="4">
        <v>2.1038926183924488E-160</v>
      </c>
      <c r="AA933" s="13">
        <v>0</v>
      </c>
    </row>
    <row r="934" spans="25:27">
      <c r="Y934" s="4">
        <f ca="1"/>
        <v>0</v>
      </c>
      <c r="Z934" s="4">
        <v>7.0763847842975902E-161</v>
      </c>
      <c r="AA934" s="13">
        <v>0</v>
      </c>
    </row>
    <row r="935" spans="25:27">
      <c r="Y935" s="4">
        <f ca="1"/>
        <v>0</v>
      </c>
      <c r="Z935" s="4">
        <v>2.3759190428588654E-161</v>
      </c>
      <c r="AA935" s="13">
        <v>0</v>
      </c>
    </row>
    <row r="936" spans="25:27">
      <c r="Y936" s="4">
        <f ca="1"/>
        <v>0</v>
      </c>
      <c r="Z936" s="4">
        <v>7.9631365212790181E-162</v>
      </c>
      <c r="AA936" s="13">
        <v>0</v>
      </c>
    </row>
    <row r="937" spans="25:27">
      <c r="Y937" s="4">
        <f ca="1"/>
        <v>0</v>
      </c>
      <c r="Z937" s="4">
        <v>2.6642133820372549E-162</v>
      </c>
      <c r="AA937" s="13">
        <v>0</v>
      </c>
    </row>
    <row r="938" spans="25:27">
      <c r="Y938" s="4">
        <f ca="1"/>
        <v>0</v>
      </c>
      <c r="Z938" s="4">
        <v>8.8978722618107706E-163</v>
      </c>
      <c r="AA938" s="13">
        <v>0</v>
      </c>
    </row>
    <row r="939" spans="25:27">
      <c r="Y939" s="4">
        <f ca="1"/>
        <v>0</v>
      </c>
      <c r="Z939" s="4">
        <v>2.9664404997977198E-163</v>
      </c>
      <c r="AA939" s="13">
        <v>0</v>
      </c>
    </row>
    <row r="940" spans="25:27">
      <c r="Y940" s="4">
        <f ca="1"/>
        <v>0</v>
      </c>
      <c r="Z940" s="4">
        <v>9.8722791492550784E-164</v>
      </c>
      <c r="AA940" s="13">
        <v>0</v>
      </c>
    </row>
    <row r="941" spans="25:27">
      <c r="Y941" s="4">
        <f ca="1"/>
        <v>0</v>
      </c>
      <c r="Z941" s="4">
        <v>3.279680357658654E-164</v>
      </c>
      <c r="AA941" s="13">
        <v>0</v>
      </c>
    </row>
    <row r="942" spans="25:27">
      <c r="Y942" s="4">
        <f ca="1"/>
        <v>0</v>
      </c>
      <c r="Z942" s="4">
        <v>1.0876218244560521E-164</v>
      </c>
      <c r="AA942" s="13">
        <v>0</v>
      </c>
    </row>
    <row r="943" spans="25:27">
      <c r="Y943" s="4">
        <f ca="1"/>
        <v>0</v>
      </c>
      <c r="Z943" s="4">
        <v>3.600448539206154E-165</v>
      </c>
      <c r="AA943" s="13">
        <v>0</v>
      </c>
    </row>
    <row r="944" spans="25:27">
      <c r="Y944" s="4">
        <f ca="1"/>
        <v>0</v>
      </c>
      <c r="Z944" s="4">
        <v>1.1897825588938631E-165</v>
      </c>
      <c r="AA944" s="13">
        <v>0</v>
      </c>
    </row>
    <row r="945" spans="25:27">
      <c r="Y945" s="4">
        <f ca="1"/>
        <v>0</v>
      </c>
      <c r="Z945" s="4">
        <v>3.9247399048857525E-166</v>
      </c>
      <c r="AA945" s="13">
        <v>0</v>
      </c>
    </row>
    <row r="946" spans="25:27">
      <c r="Y946" s="4">
        <f ca="1"/>
        <v>0</v>
      </c>
      <c r="Z946" s="4">
        <v>1.2923687641227217E-166</v>
      </c>
      <c r="AA946" s="13">
        <v>0</v>
      </c>
    </row>
    <row r="947" spans="25:27">
      <c r="Y947" s="4">
        <f ca="1"/>
        <v>0</v>
      </c>
      <c r="Z947" s="4">
        <v>4.248095878069317E-167</v>
      </c>
      <c r="AA947" s="13">
        <v>0</v>
      </c>
    </row>
    <row r="948" spans="25:27">
      <c r="Y948" s="4">
        <f ca="1"/>
        <v>0</v>
      </c>
      <c r="Z948" s="4">
        <v>1.3939090872512494E-167</v>
      </c>
      <c r="AA948" s="13">
        <v>0</v>
      </c>
    </row>
    <row r="949" spans="25:27">
      <c r="Y949" s="4">
        <f ca="1"/>
        <v>0</v>
      </c>
      <c r="Z949" s="4">
        <v>4.5656946967956272E-168</v>
      </c>
      <c r="AA949" s="13">
        <v>0</v>
      </c>
    </row>
    <row r="950" spans="25:27">
      <c r="Y950" s="4">
        <f ca="1"/>
        <v>0</v>
      </c>
      <c r="Z950" s="4">
        <v>1.4928341466405256E-168</v>
      </c>
      <c r="AA950" s="13">
        <v>0</v>
      </c>
    </row>
    <row r="951" spans="25:27">
      <c r="Y951" s="4">
        <f ca="1"/>
        <v>0</v>
      </c>
      <c r="Z951" s="4">
        <v>4.8724627246032332E-169</v>
      </c>
      <c r="AA951" s="13">
        <v>0</v>
      </c>
    </row>
    <row r="952" spans="25:27">
      <c r="Y952" s="4">
        <f ca="1"/>
        <v>0</v>
      </c>
      <c r="Z952" s="4">
        <v>1.5875147118024084E-169</v>
      </c>
      <c r="AA952" s="13">
        <v>0</v>
      </c>
    </row>
    <row r="953" spans="25:27">
      <c r="Y953" s="4">
        <f ca="1"/>
        <v>0</v>
      </c>
      <c r="Z953" s="4">
        <v>5.1632036730870238E-170</v>
      </c>
      <c r="AA953" s="13">
        <v>0</v>
      </c>
    </row>
    <row r="954" spans="25:27">
      <c r="Y954" s="4">
        <f ca="1"/>
        <v>0</v>
      </c>
      <c r="Z954" s="4">
        <v>1.6763049097513781E-170</v>
      </c>
      <c r="AA954" s="13">
        <v>0</v>
      </c>
    </row>
    <row r="955" spans="25:27">
      <c r="Y955" s="4">
        <f ca="1"/>
        <v>0</v>
      </c>
      <c r="Z955" s="4">
        <v>5.4327414296918107E-171</v>
      </c>
      <c r="AA955" s="13">
        <v>0</v>
      </c>
    </row>
    <row r="956" spans="25:27">
      <c r="Y956" s="4">
        <f ca="1"/>
        <v>0</v>
      </c>
      <c r="Z956" s="4">
        <v>1.7575889305435037E-171</v>
      </c>
      <c r="AA956" s="13">
        <v>0</v>
      </c>
    </row>
    <row r="957" spans="25:27">
      <c r="Y957" s="4">
        <f ca="1"/>
        <v>0</v>
      </c>
      <c r="Z957" s="4">
        <v>5.6760711889338844E-172</v>
      </c>
      <c r="AA957" s="13">
        <v>0</v>
      </c>
    </row>
    <row r="958" spans="25:27">
      <c r="Y958" s="4">
        <f ca="1"/>
        <v>0</v>
      </c>
      <c r="Z958" s="4">
        <v>1.8298294251478955E-172</v>
      </c>
      <c r="AA958" s="13">
        <v>0</v>
      </c>
    </row>
    <row r="959" spans="25:27">
      <c r="Y959" s="4">
        <f ca="1"/>
        <v>0</v>
      </c>
      <c r="Z959" s="4">
        <v>5.8885128300468247E-173</v>
      </c>
      <c r="AA959" s="13">
        <v>0</v>
      </c>
    </row>
    <row r="960" spans="25:27">
      <c r="Y960" s="4">
        <f ca="1"/>
        <v>0</v>
      </c>
      <c r="Z960" s="4">
        <v>1.8916155958938102E-173</v>
      </c>
      <c r="AA960" s="13">
        <v>0</v>
      </c>
    </row>
    <row r="961" spans="25:27">
      <c r="Y961" s="4">
        <f ca="1"/>
        <v>0</v>
      </c>
      <c r="Z961" s="4">
        <v>6.065860033327068E-174</v>
      </c>
      <c r="AA961" s="13">
        <v>0</v>
      </c>
    </row>
    <row r="962" spans="25:27">
      <c r="Y962" s="4">
        <f ca="1"/>
        <v>0</v>
      </c>
      <c r="Z962" s="4">
        <v>1.9417088911970607E-174</v>
      </c>
      <c r="AA962" s="13">
        <v>0</v>
      </c>
    </row>
    <row r="963" spans="25:27">
      <c r="Y963" s="4">
        <f ca="1"/>
        <v>0</v>
      </c>
      <c r="Z963" s="4">
        <v>6.204518527060656E-175</v>
      </c>
      <c r="AA963" s="13">
        <v>0</v>
      </c>
    </row>
    <row r="964" spans="25:27">
      <c r="Y964" s="4">
        <f ca="1"/>
        <v>0</v>
      </c>
      <c r="Z964" s="4">
        <v>1.9790842432211388E-175</v>
      </c>
      <c r="AA964" s="13">
        <v>0</v>
      </c>
    </row>
    <row r="965" spans="25:27">
      <c r="Y965" s="4">
        <f ca="1"/>
        <v>0</v>
      </c>
      <c r="Z965" s="4">
        <v>6.3016271304395106E-176</v>
      </c>
      <c r="AA965" s="13">
        <v>0</v>
      </c>
    </row>
    <row r="966" spans="25:27">
      <c r="Y966" s="4">
        <f ca="1"/>
        <v>0</v>
      </c>
      <c r="Z966" s="4">
        <v>2.0029649329747741E-176</v>
      </c>
      <c r="AA966" s="13">
        <v>0</v>
      </c>
    </row>
    <row r="967" spans="25:27">
      <c r="Y967" s="4">
        <f ca="1"/>
        <v>0</v>
      </c>
      <c r="Z967" s="4">
        <v>6.3551559029491255E-177</v>
      </c>
      <c r="AA967" s="13">
        <v>0</v>
      </c>
    </row>
    <row r="968" spans="25:27">
      <c r="Y968" s="4">
        <f ca="1"/>
        <v>0</v>
      </c>
      <c r="Z968" s="4">
        <v>2.0128494271970941E-177</v>
      </c>
      <c r="AA968" s="13">
        <v>0</v>
      </c>
    </row>
    <row r="969" spans="25:27">
      <c r="Y969" s="4">
        <f ca="1"/>
        <v>0</v>
      </c>
      <c r="Z969" s="4">
        <v>6.3639766985687639E-178</v>
      </c>
      <c r="AA969" s="13">
        <v>0</v>
      </c>
    </row>
    <row r="970" spans="25:27">
      <c r="Y970" s="4">
        <f ca="1"/>
        <v>0</v>
      </c>
      <c r="Z970" s="4">
        <v>2.0085288920328482E-178</v>
      </c>
      <c r="AA970" s="13">
        <v>0</v>
      </c>
    </row>
    <row r="971" spans="25:27">
      <c r="Y971" s="4">
        <f ca="1"/>
        <v>0</v>
      </c>
      <c r="Z971" s="4">
        <v>6.3279026997999398E-179</v>
      </c>
      <c r="AA971" s="13">
        <v>0</v>
      </c>
    </row>
    <row r="972" spans="25:27">
      <c r="Y972" s="4">
        <f ca="1"/>
        <v>0</v>
      </c>
      <c r="Z972" s="4">
        <v>1.9900945292924177E-179</v>
      </c>
      <c r="AA972" s="13">
        <v>0</v>
      </c>
    </row>
    <row r="973" spans="25:27">
      <c r="Y973" s="4">
        <f ca="1"/>
        <v>0</v>
      </c>
      <c r="Z973" s="4">
        <v>6.2476949965134984E-180</v>
      </c>
      <c r="AA973" s="13">
        <v>0</v>
      </c>
    </row>
    <row r="974" spans="25:27">
      <c r="Y974" s="4">
        <f ca="1"/>
        <v>0</v>
      </c>
      <c r="Z974" s="4">
        <v>1.9579343753353806E-180</v>
      </c>
      <c r="AA974" s="13">
        <v>0</v>
      </c>
    </row>
    <row r="975" spans="25:27">
      <c r="Y975" s="4">
        <f ca="1"/>
        <v>0</v>
      </c>
      <c r="Z975" s="4">
        <v>6.1250358860323498E-181</v>
      </c>
      <c r="AA975" s="13">
        <v>0</v>
      </c>
    </row>
    <row r="976" spans="25:27">
      <c r="Y976" s="4">
        <f ca="1"/>
        <v>0</v>
      </c>
      <c r="Z976" s="4">
        <v>1.9127197195138221E-181</v>
      </c>
      <c r="AA976" s="13">
        <v>0</v>
      </c>
    </row>
    <row r="977" spans="25:27">
      <c r="Y977" s="4">
        <f ca="1"/>
        <v>0</v>
      </c>
      <c r="Z977" s="4">
        <v>5.962470202714833E-182</v>
      </c>
      <c r="AA977" s="13">
        <v>0</v>
      </c>
    </row>
    <row r="978" spans="25:27">
      <c r="Y978" s="4">
        <f ca="1"/>
        <v>0</v>
      </c>
      <c r="Z978" s="4">
        <v>1.8553818061272157E-182</v>
      </c>
      <c r="AA978" s="13">
        <v>0</v>
      </c>
    </row>
    <row r="979" spans="25:27">
      <c r="Y979" s="4">
        <f ca="1"/>
        <v>0</v>
      </c>
      <c r="Z979" s="4">
        <v>5.7633175349275254E-183</v>
      </c>
      <c r="AA979" s="13">
        <v>0</v>
      </c>
    </row>
    <row r="980" spans="25:27">
      <c r="Y980" s="4">
        <f ca="1"/>
        <v>0</v>
      </c>
      <c r="Z980" s="4">
        <v>1.7870799492395452E-183</v>
      </c>
      <c r="AA980" s="13">
        <v>0</v>
      </c>
    </row>
    <row r="981" spans="25:27">
      <c r="Y981" s="4">
        <f ca="1"/>
        <v>0</v>
      </c>
      <c r="Z981" s="4">
        <v>5.5315595583774456E-184</v>
      </c>
      <c r="AA981" s="13">
        <v>0</v>
      </c>
    </row>
    <row r="982" spans="25:27">
      <c r="Y982" s="4">
        <f ca="1"/>
        <v>0</v>
      </c>
      <c r="Z982" s="4">
        <v>1.709162584880308E-184</v>
      </c>
      <c r="AA982" s="13">
        <v>0</v>
      </c>
    </row>
    <row r="983" spans="25:27">
      <c r="Y983" s="4">
        <f ca="1"/>
        <v>0</v>
      </c>
      <c r="Z983" s="4">
        <v>5.2717078244850071E-185</v>
      </c>
      <c r="AA983" s="13">
        <v>0</v>
      </c>
    </row>
    <row r="984" spans="25:27">
      <c r="Y984" s="4">
        <f ca="1"/>
        <v>0</v>
      </c>
      <c r="Z984" s="4">
        <v>1.6231230868373433E-185</v>
      </c>
      <c r="AA984" s="13">
        <v>0</v>
      </c>
    </row>
    <row r="985" spans="25:27">
      <c r="Y985" s="4">
        <f ca="1"/>
        <v>0</v>
      </c>
      <c r="Z985" s="4">
        <v>4.9886581279217935E-186</v>
      </c>
      <c r="AA985" s="13">
        <v>0</v>
      </c>
    </row>
    <row r="986" spans="25:27">
      <c r="Y986" s="4">
        <f ca="1"/>
        <v>0</v>
      </c>
      <c r="Z986" s="4">
        <v>1.5305523641993316E-186</v>
      </c>
      <c r="AA986" s="13">
        <v>0</v>
      </c>
    </row>
    <row r="987" spans="25:27">
      <c r="Y987" s="4">
        <f ca="1"/>
        <v>0</v>
      </c>
      <c r="Z987" s="4">
        <v>4.6875379994487585E-187</v>
      </c>
      <c r="AA987" s="13">
        <v>0</v>
      </c>
    </row>
    <row r="988" spans="25:27">
      <c r="Y988" s="4">
        <f ca="1"/>
        <v>0</v>
      </c>
      <c r="Z988" s="4">
        <v>1.4330903327627585E-187</v>
      </c>
      <c r="AA988" s="13">
        <v>0</v>
      </c>
    </row>
    <row r="989" spans="25:27">
      <c r="Y989" s="4">
        <f ca="1"/>
        <v>0</v>
      </c>
      <c r="Z989" s="4">
        <v>4.3735539160315903E-188</v>
      </c>
      <c r="AA989" s="13">
        <v>0</v>
      </c>
    </row>
    <row r="990" spans="25:27">
      <c r="Y990" s="4">
        <f ca="1"/>
        <v>0</v>
      </c>
      <c r="Z990" s="4">
        <v>1.3323783085342352E-188</v>
      </c>
      <c r="AA990" s="13">
        <v>0</v>
      </c>
    </row>
    <row r="991" spans="25:27">
      <c r="Y991" s="4">
        <f ca="1"/>
        <v>0</v>
      </c>
      <c r="Z991" s="4">
        <v>4.0518445034120702E-189</v>
      </c>
      <c r="AA991" s="13">
        <v>0</v>
      </c>
    </row>
    <row r="992" spans="25:27">
      <c r="Y992" s="4">
        <f ca="1"/>
        <v>0</v>
      </c>
      <c r="Z992" s="4">
        <v>1.2300142180604864E-189</v>
      </c>
      <c r="AA992" s="13">
        <v>0</v>
      </c>
    </row>
    <row r="993" spans="25:27">
      <c r="Y993" s="4">
        <f ca="1"/>
        <v>0</v>
      </c>
      <c r="Z993" s="4">
        <v>3.7273453643974754E-190</v>
      </c>
      <c r="AA993" s="13">
        <v>0</v>
      </c>
    </row>
    <row r="994" spans="25:27">
      <c r="Y994" s="4">
        <f ca="1"/>
        <v>0</v>
      </c>
      <c r="Z994" s="4">
        <v>1.1275122724288573E-190</v>
      </c>
      <c r="AA994" s="13">
        <v>0</v>
      </c>
    </row>
    <row r="995" spans="25:27">
      <c r="Y995" s="4">
        <f ca="1"/>
        <v>0</v>
      </c>
      <c r="Z995" s="4">
        <v>3.4046702567915588E-191</v>
      </c>
      <c r="AA995" s="13">
        <v>0</v>
      </c>
    </row>
    <row r="996" spans="25:27">
      <c r="Y996" s="4">
        <f ca="1"/>
        <v>0</v>
      </c>
      <c r="Z996" s="4">
        <v>1.0262684303104648E-191</v>
      </c>
      <c r="AA996" s="13">
        <v>0</v>
      </c>
    </row>
    <row r="997" spans="25:27">
      <c r="Y997" s="4">
        <f ca="1"/>
        <v>0</v>
      </c>
      <c r="Z997" s="4">
        <v>3.0880122405106661E-192</v>
      </c>
      <c r="AA997" s="13">
        <v>0</v>
      </c>
    </row>
    <row r="998" spans="25:27">
      <c r="Y998" s="4">
        <f ca="1"/>
        <v>0</v>
      </c>
      <c r="Z998" s="4">
        <v>9.2753260481304324E-193</v>
      </c>
      <c r="AA998" s="13">
        <v>0</v>
      </c>
    </row>
    <row r="999" spans="25:27">
      <c r="Y999" s="4">
        <f ca="1"/>
        <v>0</v>
      </c>
      <c r="Z999" s="4">
        <v>2.7810671946283877E-193</v>
      </c>
      <c r="AA999" s="13">
        <v>0</v>
      </c>
    </row>
    <row r="1000" spans="25:27">
      <c r="Y1000" s="4">
        <f ca="1"/>
        <v>0</v>
      </c>
      <c r="Z1000" s="4">
        <v>8.3238817524518572E-194</v>
      </c>
      <c r="AA1000" s="13">
        <v>0</v>
      </c>
    </row>
    <row r="1001" spans="25:27">
      <c r="Y1001" s="4">
        <f ca="1"/>
        <v>0</v>
      </c>
      <c r="Z1001" s="4">
        <v>2.4869808544010037E-194</v>
      </c>
      <c r="AA1001" s="13">
        <v>0</v>
      </c>
    </row>
    <row r="1002" spans="25:27">
      <c r="Y1002" s="4">
        <f ca="1"/>
        <v>0</v>
      </c>
      <c r="Z1002" s="4">
        <v>7.4173897374441976E-195</v>
      </c>
      <c r="AA1002" s="13">
        <v>0</v>
      </c>
    </row>
    <row r="1003" spans="25:27">
      <c r="Y1003" s="4">
        <f ca="1"/>
        <v>0</v>
      </c>
      <c r="Z1003" s="4">
        <v>2.2083193137819947E-195</v>
      </c>
      <c r="AA1003" s="13">
        <v>0</v>
      </c>
    </row>
    <row r="1004" spans="25:27">
      <c r="Y1004" s="4">
        <f ca="1"/>
        <v>0</v>
      </c>
      <c r="Z1004" s="4">
        <v>6.5630355146335582E-196</v>
      </c>
      <c r="AA1004" s="13">
        <v>0</v>
      </c>
    </row>
    <row r="1005" spans="25:27">
      <c r="Y1005" s="4">
        <f ca="1"/>
        <v>0</v>
      </c>
      <c r="Z1005" s="4">
        <v>1.9470618487800403E-196</v>
      </c>
      <c r="AA1005" s="13">
        <v>0</v>
      </c>
    </row>
    <row r="1006" spans="25:27">
      <c r="Y1006" s="4"/>
      <c r="Z1006" s="4" t="e">
        <v>#N/A</v>
      </c>
      <c r="AA1006" s="13" t="e">
        <v>#N/A</v>
      </c>
    </row>
    <row r="1007" spans="25:27">
      <c r="Y1007" s="4"/>
      <c r="Z1007" s="4" t="e">
        <v>#N/A</v>
      </c>
      <c r="AA1007" s="13" t="e">
        <v>#N/A</v>
      </c>
    </row>
    <row r="1008" spans="25:27">
      <c r="Y1008" s="4"/>
      <c r="Z1008" s="4" t="e">
        <v>#N/A</v>
      </c>
      <c r="AA1008" s="13" t="e">
        <v>#N/A</v>
      </c>
    </row>
    <row r="1009" spans="26:27">
      <c r="Z1009" t="e">
        <v>#N/A</v>
      </c>
      <c r="AA1009" s="13" t="e">
        <v>#N/A</v>
      </c>
    </row>
    <row r="1010" spans="26:27">
      <c r="Z1010" t="e">
        <v>#N/A</v>
      </c>
      <c r="AA1010" s="13" t="e">
        <v>#N/A</v>
      </c>
    </row>
    <row r="1011" spans="26:27">
      <c r="Z1011" t="e">
        <v>#N/A</v>
      </c>
      <c r="AA1011" s="13" t="e">
        <v>#N/A</v>
      </c>
    </row>
    <row r="1012" spans="26:27">
      <c r="Z1012" t="e">
        <v>#N/A</v>
      </c>
      <c r="AA1012" s="13" t="e">
        <v>#N/A</v>
      </c>
    </row>
    <row r="1013" spans="26:27">
      <c r="Z1013" t="e">
        <v>#N/A</v>
      </c>
      <c r="AA1013" s="13" t="e">
        <v>#N/A</v>
      </c>
    </row>
    <row r="1014" spans="26:27">
      <c r="Z1014" t="e">
        <v>#N/A</v>
      </c>
      <c r="AA1014" s="13" t="e">
        <v>#N/A</v>
      </c>
    </row>
    <row r="1015" spans="26:27">
      <c r="Z1015" t="e">
        <v>#N/A</v>
      </c>
      <c r="AA1015" s="13" t="e">
        <v>#N/A</v>
      </c>
    </row>
    <row r="1016" spans="26:27">
      <c r="Z1016" t="e">
        <v>#N/A</v>
      </c>
      <c r="AA1016" s="13" t="e">
        <v>#N/A</v>
      </c>
    </row>
    <row r="1017" spans="26:27">
      <c r="Z1017" t="e">
        <v>#N/A</v>
      </c>
      <c r="AA1017" s="13" t="e">
        <v>#N/A</v>
      </c>
    </row>
    <row r="1018" spans="26:27">
      <c r="Z1018" t="e">
        <v>#N/A</v>
      </c>
      <c r="AA1018" s="13" t="e">
        <v>#N/A</v>
      </c>
    </row>
    <row r="1019" spans="26:27">
      <c r="Z1019" t="e">
        <v>#N/A</v>
      </c>
      <c r="AA1019" s="13" t="e">
        <v>#N/A</v>
      </c>
    </row>
    <row r="1020" spans="26:27">
      <c r="Z1020" t="e">
        <v>#N/A</v>
      </c>
      <c r="AA1020" s="13" t="e">
        <v>#N/A</v>
      </c>
    </row>
    <row r="1021" spans="26:27">
      <c r="Z1021" t="e">
        <v>#N/A</v>
      </c>
      <c r="AA1021" s="13" t="e">
        <v>#N/A</v>
      </c>
    </row>
  </sheetData>
  <mergeCells count="3">
    <mergeCell ref="B14:C14"/>
    <mergeCell ref="B23:C23"/>
    <mergeCell ref="B2:J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Credit Portfolio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 Gregory</cp:lastModifiedBy>
  <dcterms:created xsi:type="dcterms:W3CDTF">2018-12-22T19:15:49Z</dcterms:created>
  <dcterms:modified xsi:type="dcterms:W3CDTF">2023-03-04T11:59:40Z</dcterms:modified>
</cp:coreProperties>
</file>