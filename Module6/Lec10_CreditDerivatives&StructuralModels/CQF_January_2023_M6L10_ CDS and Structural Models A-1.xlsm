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https://d.docs.live.net/502eee3437eb7218/Documents/TrainingCourses/CQF/Introduction to Credit Derivatives and Structural Models/"/>
    </mc:Choice>
  </mc:AlternateContent>
  <xr:revisionPtr revIDLastSave="914" documentId="8_{3B6ACDBE-E9CA-4904-B518-BE08C3DDCFA4}" xr6:coauthVersionLast="47" xr6:coauthVersionMax="47" xr10:uidLastSave="{236C597E-218C-4FC1-BC4D-F711D6BC9123}"/>
  <bookViews>
    <workbookView xWindow="-108" yWindow="-108" windowWidth="23256" windowHeight="13896" xr2:uid="{00000000-000D-0000-FFFF-FFFF00000000}"/>
  </bookViews>
  <sheets>
    <sheet name="Merton" sheetId="14" r:id="rId1"/>
    <sheet name="Correlation" sheetId="18" r:id="rId2"/>
    <sheet name="CDSCntrptyRisk" sheetId="11" r:id="rId3"/>
    <sheet name="Gaussian Copula Model" sheetId="17" r:id="rId4"/>
    <sheet name="BaseCorrelation" sheetId="16" r:id="rId5"/>
  </sheets>
  <functionGroups builtInGroupCount="19"/>
  <externalReferences>
    <externalReference r:id="rId6"/>
  </externalReferences>
  <definedNames>
    <definedName name="BasketMaturity" localSheetId="4">[1]BasketPricer!$C$14</definedName>
    <definedName name="BasketMaturity" localSheetId="3">[1]BasketPricer!$C$14</definedName>
    <definedName name="BasketMaturity" localSheetId="0">Merton!#REF!</definedName>
    <definedName name="BasketMaturity">#REF!</definedName>
    <definedName name="BasketSize" localSheetId="4">[1]BasketPricer!$C$15</definedName>
    <definedName name="BasketSize" localSheetId="3">[1]BasketPricer!$C$15</definedName>
    <definedName name="BasketSize" localSheetId="0">Merton!#REF!</definedName>
    <definedName name="BasketSize">#REF!</definedName>
    <definedName name="CntrptyDefProb" localSheetId="2">CDSCntrptyRisk!$C$17</definedName>
    <definedName name="CntrptySpread" localSheetId="2">CDSCntrptyRisk!$C$11</definedName>
    <definedName name="CopulaCorrelation" localSheetId="2">CDSCntrptyRisk!$C$12</definedName>
    <definedName name="Correl" localSheetId="0">Merton!#REF!</definedName>
    <definedName name="CorrelAttach" localSheetId="4">BaseCorrelation!$D$11</definedName>
    <definedName name="CorrelAttach" localSheetId="3">'Gaussian Copula Model'!$D$11</definedName>
    <definedName name="CorrelDetach" localSheetId="4">BaseCorrelation!$D$12</definedName>
    <definedName name="CorrelDetach" localSheetId="3">'Gaussian Copula Model'!$D$12</definedName>
    <definedName name="d1x" localSheetId="4">[1]Merton!$C$15</definedName>
    <definedName name="d1x" localSheetId="3">[1]Merton!$C$15</definedName>
    <definedName name="d1x">Merton!$C$15</definedName>
    <definedName name="d2x" localSheetId="4">[1]Merton!$C$16</definedName>
    <definedName name="d2x" localSheetId="3">[1]Merton!$C$16</definedName>
    <definedName name="d2x">Merton!$C$16</definedName>
    <definedName name="DebtFV" localSheetId="4">[1]Merton!$C$10</definedName>
    <definedName name="DebtFV" localSheetId="3">[1]Merton!$C$10</definedName>
    <definedName name="DebtFV">Merton!$C$10</definedName>
    <definedName name="FirmValue" localSheetId="4">[1]Merton!$C$9</definedName>
    <definedName name="FirmValue" localSheetId="3">[1]Merton!$C$9</definedName>
    <definedName name="FirmValue">Merton!$C$9</definedName>
    <definedName name="FVol" localSheetId="4">[1]Merton!$C$12</definedName>
    <definedName name="FVol" localSheetId="3">[1]Merton!$C$12</definedName>
    <definedName name="FVol">Merton!$C$12</definedName>
    <definedName name="GCCorrel">'Gaussian Copula Model'!$C$15</definedName>
    <definedName name="HazardRates">#REF!</definedName>
    <definedName name="HRs" localSheetId="4">#REF!</definedName>
    <definedName name="HRs" localSheetId="3">#REF!</definedName>
    <definedName name="HRs">#REF!</definedName>
    <definedName name="InterpType" localSheetId="4">BaseCorrelation!$C$17</definedName>
    <definedName name="InterpType" localSheetId="3">'Gaussian Copula Model'!$C$18</definedName>
    <definedName name="IntRate" localSheetId="0">Merton!$C$11</definedName>
    <definedName name="Maturity" localSheetId="4">[1]Merton!$C$13</definedName>
    <definedName name="Maturity" localSheetId="2">CDSCntrptyRisk!$C$14</definedName>
    <definedName name="Maturity" localSheetId="3">[1]Merton!$C$13</definedName>
    <definedName name="Maturity">Merton!$C$13</definedName>
    <definedName name="Method">#REF!</definedName>
    <definedName name="MTMVals" localSheetId="4">#REF!</definedName>
    <definedName name="MTMVals" localSheetId="3">#REF!</definedName>
    <definedName name="MTMVals">#REF!</definedName>
    <definedName name="Output" localSheetId="0">Merton!#REF!</definedName>
    <definedName name="Recovery" localSheetId="2">CDSCntrptyRisk!$C$13</definedName>
    <definedName name="RecoveryRate" localSheetId="0">Merton!#REF!</definedName>
    <definedName name="RefDefProb" localSheetId="2">CDSCntrptyRisk!$C$16</definedName>
    <definedName name="Scenarios" localSheetId="0">Merton!#REF!</definedName>
    <definedName name="solver_adj" localSheetId="4" hidden="1">BaseCorrelation!$F$13,BaseCorrelation!$F$15,BaseCorrelation!$F$16,BaseCorrelation!$F$17</definedName>
    <definedName name="solver_adj" localSheetId="3" hidden="1">'Gaussian Copula Model'!$C$15</definedName>
    <definedName name="solver_cvg" localSheetId="4" hidden="1">0.0001</definedName>
    <definedName name="solver_cvg" localSheetId="3" hidden="1">0.0001</definedName>
    <definedName name="solver_drv" localSheetId="4" hidden="1">1</definedName>
    <definedName name="solver_drv" localSheetId="3" hidden="1">1</definedName>
    <definedName name="solver_eng" localSheetId="3" hidden="1">1</definedName>
    <definedName name="solver_est" localSheetId="4" hidden="1">1</definedName>
    <definedName name="solver_est" localSheetId="3" hidden="1">1</definedName>
    <definedName name="solver_itr" localSheetId="4" hidden="1">100</definedName>
    <definedName name="solver_itr" localSheetId="3" hidden="1">100</definedName>
    <definedName name="solver_lhs1" localSheetId="4" hidden="1">BaseCorrelation!$F$15</definedName>
    <definedName name="solver_lhs1" localSheetId="3" hidden="1">'Gaussian Copula Model'!#REF!</definedName>
    <definedName name="solver_lhs10" localSheetId="4" hidden="1">BaseCorrelation!$F$17</definedName>
    <definedName name="solver_lhs10" localSheetId="3" hidden="1">'Gaussian Copula Model'!#REF!</definedName>
    <definedName name="solver_lhs11" localSheetId="4" hidden="1">BaseCorrelation!$F$13</definedName>
    <definedName name="solver_lhs11" localSheetId="3" hidden="1">'Gaussian Copula Model'!#REF!</definedName>
    <definedName name="solver_lhs2" localSheetId="4" hidden="1">BaseCorrelation!$F$18</definedName>
    <definedName name="solver_lhs2" localSheetId="3" hidden="1">'Gaussian Copula Model'!#REF!</definedName>
    <definedName name="solver_lhs3" localSheetId="4" hidden="1">BaseCorrelation!$F$13</definedName>
    <definedName name="solver_lhs3" localSheetId="3" hidden="1">'Gaussian Copula Model'!#REF!</definedName>
    <definedName name="solver_lhs4" localSheetId="4" hidden="1">BaseCorrelation!$F$13</definedName>
    <definedName name="solver_lhs4" localSheetId="3" hidden="1">'Gaussian Copula Model'!#REF!</definedName>
    <definedName name="solver_lhs5" localSheetId="4" hidden="1">BaseCorrelation!$F$16</definedName>
    <definedName name="solver_lhs5" localSheetId="3" hidden="1">'Gaussian Copula Model'!#REF!</definedName>
    <definedName name="solver_lhs6" localSheetId="4" hidden="1">BaseCorrelation!$F$17</definedName>
    <definedName name="solver_lhs6" localSheetId="3" hidden="1">'Gaussian Copula Model'!#REF!</definedName>
    <definedName name="solver_lhs7" localSheetId="4" hidden="1">BaseCorrelation!$F$17</definedName>
    <definedName name="solver_lhs7" localSheetId="3" hidden="1">'Gaussian Copula Model'!#REF!</definedName>
    <definedName name="solver_lhs8" localSheetId="4" hidden="1">BaseCorrelation!$F$16</definedName>
    <definedName name="solver_lhs8" localSheetId="3" hidden="1">'Gaussian Copula Model'!#REF!</definedName>
    <definedName name="solver_lhs9" localSheetId="4" hidden="1">BaseCorrelation!$F$15</definedName>
    <definedName name="solver_lhs9" localSheetId="3" hidden="1">'Gaussian Copula Model'!#REF!</definedName>
    <definedName name="solver_lin" localSheetId="4" hidden="1">2</definedName>
    <definedName name="solver_lin" localSheetId="3" hidden="1">2</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4" hidden="1">2</definedName>
    <definedName name="solver_neg" localSheetId="3" hidden="1">2</definedName>
    <definedName name="solver_nod" localSheetId="3" hidden="1">2147483647</definedName>
    <definedName name="solver_num" localSheetId="4" hidden="1">9</definedName>
    <definedName name="solver_num" localSheetId="3" hidden="1">0</definedName>
    <definedName name="solver_nwt" localSheetId="4" hidden="1">1</definedName>
    <definedName name="solver_nwt" localSheetId="3" hidden="1">1</definedName>
    <definedName name="solver_opt" localSheetId="4" hidden="1">BaseCorrelation!$I$36</definedName>
    <definedName name="solver_opt" localSheetId="3" hidden="1">'Gaussian Copula Model'!$O$18</definedName>
    <definedName name="solver_pre" localSheetId="4" hidden="1">0.000001</definedName>
    <definedName name="solver_pre" localSheetId="3" hidden="1">0.000001</definedName>
    <definedName name="solver_rbv" localSheetId="3" hidden="1">1</definedName>
    <definedName name="solver_rel1" localSheetId="4" hidden="1">3</definedName>
    <definedName name="solver_rel1" localSheetId="3" hidden="1">1</definedName>
    <definedName name="solver_rel10" localSheetId="4" hidden="1">3</definedName>
    <definedName name="solver_rel10" localSheetId="3" hidden="1">3</definedName>
    <definedName name="solver_rel11" localSheetId="4" hidden="1">3</definedName>
    <definedName name="solver_rel11" localSheetId="3" hidden="1">3</definedName>
    <definedName name="solver_rel2" localSheetId="4" hidden="1">1</definedName>
    <definedName name="solver_rel2" localSheetId="3" hidden="1">1</definedName>
    <definedName name="solver_rel3" localSheetId="4" hidden="1">1</definedName>
    <definedName name="solver_rel3" localSheetId="3" hidden="1">1</definedName>
    <definedName name="solver_rel4" localSheetId="4" hidden="1">3</definedName>
    <definedName name="solver_rel4" localSheetId="3" hidden="1">3</definedName>
    <definedName name="solver_rel5" localSheetId="4" hidden="1">3</definedName>
    <definedName name="solver_rel5" localSheetId="3" hidden="1">3</definedName>
    <definedName name="solver_rel6" localSheetId="4" hidden="1">3</definedName>
    <definedName name="solver_rel6" localSheetId="3" hidden="1">3</definedName>
    <definedName name="solver_rel7" localSheetId="4" hidden="1">1</definedName>
    <definedName name="solver_rel7" localSheetId="3" hidden="1">1</definedName>
    <definedName name="solver_rel8" localSheetId="4" hidden="1">1</definedName>
    <definedName name="solver_rel8" localSheetId="3" hidden="1">1</definedName>
    <definedName name="solver_rel9" localSheetId="4" hidden="1">1</definedName>
    <definedName name="solver_rel9" localSheetId="3" hidden="1">1</definedName>
    <definedName name="solver_rhs1" localSheetId="4" hidden="1">0.7</definedName>
    <definedName name="solver_rhs1" localSheetId="3" hidden="1">0.2</definedName>
    <definedName name="solver_rhs10" localSheetId="4" hidden="1">0.4</definedName>
    <definedName name="solver_rhs10" localSheetId="3" hidden="1">0.4</definedName>
    <definedName name="solver_rhs11" localSheetId="4" hidden="1">0.00001</definedName>
    <definedName name="solver_rhs11" localSheetId="3" hidden="1">0.00001</definedName>
    <definedName name="solver_rhs2" localSheetId="4" hidden="1">0.2</definedName>
    <definedName name="solver_rhs2" localSheetId="3" hidden="1">0.2</definedName>
    <definedName name="solver_rhs3" localSheetId="4" hidden="1">0.3</definedName>
    <definedName name="solver_rhs3" localSheetId="3" hidden="1">0.3</definedName>
    <definedName name="solver_rhs4" localSheetId="4" hidden="1">0.00001</definedName>
    <definedName name="solver_rhs4" localSheetId="3" hidden="1">0.00001</definedName>
    <definedName name="solver_rhs5" localSheetId="4" hidden="1">0</definedName>
    <definedName name="solver_rhs5" localSheetId="3" hidden="1">0</definedName>
    <definedName name="solver_rhs6" localSheetId="4" hidden="1">0.4</definedName>
    <definedName name="solver_rhs6" localSheetId="3" hidden="1">0.4</definedName>
    <definedName name="solver_rhs7" localSheetId="4" hidden="1">0.8</definedName>
    <definedName name="solver_rhs7" localSheetId="3" hidden="1">0.8</definedName>
    <definedName name="solver_rhs8" localSheetId="4" hidden="1">0.5</definedName>
    <definedName name="solver_rhs8" localSheetId="3" hidden="1">0.5</definedName>
    <definedName name="solver_rhs9" localSheetId="4" hidden="1">0.98</definedName>
    <definedName name="solver_rhs9" localSheetId="3" hidden="1">0.98</definedName>
    <definedName name="solver_rlx" localSheetId="3" hidden="1">1</definedName>
    <definedName name="solver_rsd" localSheetId="3" hidden="1">0</definedName>
    <definedName name="solver_scl" localSheetId="4" hidden="1">2</definedName>
    <definedName name="solver_scl" localSheetId="3" hidden="1">2</definedName>
    <definedName name="solver_sho" localSheetId="4" hidden="1">2</definedName>
    <definedName name="solver_sho" localSheetId="3" hidden="1">2</definedName>
    <definedName name="solver_ssz" localSheetId="3" hidden="1">100</definedName>
    <definedName name="solver_tim" localSheetId="4" hidden="1">1000</definedName>
    <definedName name="solver_tim" localSheetId="3" hidden="1">1000</definedName>
    <definedName name="solver_tol" localSheetId="4" hidden="1">0.05</definedName>
    <definedName name="solver_tol" localSheetId="3" hidden="1">0.05</definedName>
    <definedName name="solver_typ" localSheetId="4" hidden="1">2</definedName>
    <definedName name="solver_typ" localSheetId="3" hidden="1">2</definedName>
    <definedName name="solver_val" localSheetId="4" hidden="1">0</definedName>
    <definedName name="solver_val" localSheetId="3" hidden="1">0</definedName>
    <definedName name="solver_ver" localSheetId="3" hidden="1">3</definedName>
    <definedName name="SpreadRef" localSheetId="2">CDSCntrptyRisk!$C$10</definedName>
    <definedName name="Spreads">#REF!</definedName>
    <definedName name="Tenors" localSheetId="4">#REF!</definedName>
    <definedName name="Tenors" localSheetId="3">#REF!</definedName>
    <definedName name="Tenors">#REF!</definedName>
    <definedName name="Variables" localSheetId="0">Merton!#REF!</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945" i="18" l="1"/>
  <c r="B945" i="18" s="1"/>
  <c r="A944" i="18"/>
  <c r="A943" i="18"/>
  <c r="C943" i="18" s="1"/>
  <c r="A942" i="18"/>
  <c r="B942" i="18" s="1"/>
  <c r="A941" i="18"/>
  <c r="A940" i="18"/>
  <c r="A939" i="18"/>
  <c r="C939" i="18" s="1"/>
  <c r="A938" i="18"/>
  <c r="C938" i="18" s="1"/>
  <c r="A937" i="18"/>
  <c r="B937" i="18" s="1"/>
  <c r="A936" i="18"/>
  <c r="C936" i="18" s="1"/>
  <c r="A935" i="18"/>
  <c r="C935" i="18" s="1"/>
  <c r="A934" i="18"/>
  <c r="B934" i="18" s="1"/>
  <c r="A933" i="18"/>
  <c r="A932" i="18"/>
  <c r="B932" i="18" s="1"/>
  <c r="A931" i="18"/>
  <c r="C931" i="18" s="1"/>
  <c r="A930" i="18"/>
  <c r="A929" i="18"/>
  <c r="C929" i="18" s="1"/>
  <c r="C928" i="18"/>
  <c r="A928" i="18"/>
  <c r="B928" i="18" s="1"/>
  <c r="A927" i="18"/>
  <c r="C927" i="18" s="1"/>
  <c r="A926" i="18"/>
  <c r="B926" i="18" s="1"/>
  <c r="A925" i="18"/>
  <c r="A924" i="18"/>
  <c r="B924" i="18" s="1"/>
  <c r="A923" i="18"/>
  <c r="C923" i="18" s="1"/>
  <c r="A922" i="18"/>
  <c r="C922" i="18" s="1"/>
  <c r="A921" i="18"/>
  <c r="B921" i="18" s="1"/>
  <c r="A920" i="18"/>
  <c r="C920" i="18" s="1"/>
  <c r="A919" i="18"/>
  <c r="B919" i="18" s="1"/>
  <c r="A918" i="18"/>
  <c r="B918" i="18" s="1"/>
  <c r="A917" i="18"/>
  <c r="A916" i="18"/>
  <c r="B916" i="18" s="1"/>
  <c r="A915" i="18"/>
  <c r="C915" i="18" s="1"/>
  <c r="A914" i="18"/>
  <c r="C914" i="18" s="1"/>
  <c r="A913" i="18"/>
  <c r="B913" i="18" s="1"/>
  <c r="A912" i="18"/>
  <c r="C912" i="18" s="1"/>
  <c r="A911" i="18"/>
  <c r="C911" i="18" s="1"/>
  <c r="A910" i="18"/>
  <c r="B910" i="18" s="1"/>
  <c r="A909" i="18"/>
  <c r="A908" i="18"/>
  <c r="A907" i="18"/>
  <c r="C907" i="18" s="1"/>
  <c r="A906" i="18"/>
  <c r="C906" i="18" s="1"/>
  <c r="A905" i="18"/>
  <c r="B905" i="18" s="1"/>
  <c r="A904" i="18"/>
  <c r="C904" i="18" s="1"/>
  <c r="C903" i="18"/>
  <c r="B903" i="18"/>
  <c r="A903" i="18"/>
  <c r="A902" i="18"/>
  <c r="B902" i="18" s="1"/>
  <c r="A901" i="18"/>
  <c r="A900" i="18"/>
  <c r="B900" i="18" s="1"/>
  <c r="A899" i="18"/>
  <c r="C899" i="18" s="1"/>
  <c r="A898" i="18"/>
  <c r="A897" i="18"/>
  <c r="B897" i="18" s="1"/>
  <c r="A896" i="18"/>
  <c r="C896" i="18" s="1"/>
  <c r="A895" i="18"/>
  <c r="C895" i="18" s="1"/>
  <c r="A894" i="18"/>
  <c r="B894" i="18" s="1"/>
  <c r="A893" i="18"/>
  <c r="A892" i="18"/>
  <c r="B892" i="18" s="1"/>
  <c r="A891" i="18"/>
  <c r="C891" i="18" s="1"/>
  <c r="A890" i="18"/>
  <c r="C890" i="18" s="1"/>
  <c r="A889" i="18"/>
  <c r="B889" i="18" s="1"/>
  <c r="A888" i="18"/>
  <c r="C888" i="18" s="1"/>
  <c r="A887" i="18"/>
  <c r="B887" i="18" s="1"/>
  <c r="A886" i="18"/>
  <c r="B886" i="18" s="1"/>
  <c r="A885" i="18"/>
  <c r="A884" i="18"/>
  <c r="B884" i="18" s="1"/>
  <c r="A883" i="18"/>
  <c r="C883" i="18" s="1"/>
  <c r="A882" i="18"/>
  <c r="C882" i="18" s="1"/>
  <c r="C881" i="18"/>
  <c r="A881" i="18"/>
  <c r="B881" i="18" s="1"/>
  <c r="A880" i="18"/>
  <c r="A879" i="18"/>
  <c r="C879" i="18" s="1"/>
  <c r="A878" i="18"/>
  <c r="B878" i="18" s="1"/>
  <c r="A877" i="18"/>
  <c r="A876" i="18"/>
  <c r="A875" i="18"/>
  <c r="C875" i="18" s="1"/>
  <c r="A874" i="18"/>
  <c r="C874" i="18" s="1"/>
  <c r="A873" i="18"/>
  <c r="B873" i="18" s="1"/>
  <c r="A872" i="18"/>
  <c r="A871" i="18"/>
  <c r="C871" i="18" s="1"/>
  <c r="A870" i="18"/>
  <c r="B870" i="18" s="1"/>
  <c r="A869" i="18"/>
  <c r="A868" i="18"/>
  <c r="B868" i="18" s="1"/>
  <c r="A867" i="18"/>
  <c r="C867" i="18" s="1"/>
  <c r="A866" i="18"/>
  <c r="A865" i="18"/>
  <c r="B865" i="18" s="1"/>
  <c r="A864" i="18"/>
  <c r="C864" i="18" s="1"/>
  <c r="A863" i="18"/>
  <c r="C863" i="18" s="1"/>
  <c r="A862" i="18"/>
  <c r="B862" i="18" s="1"/>
  <c r="A861" i="18"/>
  <c r="A860" i="18"/>
  <c r="B860" i="18" s="1"/>
  <c r="A859" i="18"/>
  <c r="C859" i="18" s="1"/>
  <c r="A858" i="18"/>
  <c r="C858" i="18" s="1"/>
  <c r="A857" i="18"/>
  <c r="C857" i="18" s="1"/>
  <c r="A856" i="18"/>
  <c r="C855" i="18"/>
  <c r="A855" i="18"/>
  <c r="B855" i="18" s="1"/>
  <c r="C854" i="18"/>
  <c r="A854" i="18"/>
  <c r="B854" i="18" s="1"/>
  <c r="A853" i="18"/>
  <c r="A852" i="18"/>
  <c r="A851" i="18"/>
  <c r="C851" i="18" s="1"/>
  <c r="A850" i="18"/>
  <c r="C850" i="18" s="1"/>
  <c r="B849" i="18"/>
  <c r="A849" i="18"/>
  <c r="C849" i="18" s="1"/>
  <c r="A848" i="18"/>
  <c r="A847" i="18"/>
  <c r="B847" i="18" s="1"/>
  <c r="A846" i="18"/>
  <c r="B846" i="18" s="1"/>
  <c r="A845" i="18"/>
  <c r="A844" i="18"/>
  <c r="A843" i="18"/>
  <c r="C843" i="18" s="1"/>
  <c r="A842" i="18"/>
  <c r="C842" i="18" s="1"/>
  <c r="C841" i="18"/>
  <c r="B841" i="18"/>
  <c r="A841" i="18"/>
  <c r="A840" i="18"/>
  <c r="C839" i="18"/>
  <c r="A839" i="18"/>
  <c r="B839" i="18" s="1"/>
  <c r="A838" i="18"/>
  <c r="B838" i="18" s="1"/>
  <c r="A837" i="18"/>
  <c r="A836" i="18"/>
  <c r="A835" i="18"/>
  <c r="C835" i="18" s="1"/>
  <c r="A834" i="18"/>
  <c r="C833" i="18"/>
  <c r="B833" i="18"/>
  <c r="A833" i="18"/>
  <c r="A832" i="18"/>
  <c r="B831" i="18"/>
  <c r="A831" i="18"/>
  <c r="C831" i="18" s="1"/>
  <c r="A830" i="18"/>
  <c r="B830" i="18" s="1"/>
  <c r="A829" i="18"/>
  <c r="A828" i="18"/>
  <c r="B828" i="18" s="1"/>
  <c r="A827" i="18"/>
  <c r="C827" i="18" s="1"/>
  <c r="A826" i="18"/>
  <c r="C826" i="18" s="1"/>
  <c r="C825" i="18"/>
  <c r="A825" i="18"/>
  <c r="B825" i="18" s="1"/>
  <c r="A824" i="18"/>
  <c r="C824" i="18" s="1"/>
  <c r="A823" i="18"/>
  <c r="B823" i="18" s="1"/>
  <c r="A822" i="18"/>
  <c r="B822" i="18" s="1"/>
  <c r="A821" i="18"/>
  <c r="A820" i="18"/>
  <c r="B820" i="18" s="1"/>
  <c r="A819" i="18"/>
  <c r="C819" i="18" s="1"/>
  <c r="A818" i="18"/>
  <c r="C818" i="18" s="1"/>
  <c r="B817" i="18"/>
  <c r="A817" i="18"/>
  <c r="C817" i="18" s="1"/>
  <c r="A816" i="18"/>
  <c r="A815" i="18"/>
  <c r="B815" i="18" s="1"/>
  <c r="A814" i="18"/>
  <c r="B814" i="18" s="1"/>
  <c r="A813" i="18"/>
  <c r="A812" i="18"/>
  <c r="A811" i="18"/>
  <c r="C811" i="18" s="1"/>
  <c r="A810" i="18"/>
  <c r="C810" i="18" s="1"/>
  <c r="C809" i="18"/>
  <c r="B809" i="18"/>
  <c r="A809" i="18"/>
  <c r="A808" i="18"/>
  <c r="A807" i="18"/>
  <c r="B807" i="18" s="1"/>
  <c r="A806" i="18"/>
  <c r="B806" i="18" s="1"/>
  <c r="A805" i="18"/>
  <c r="A804" i="18"/>
  <c r="A803" i="18"/>
  <c r="C803" i="18" s="1"/>
  <c r="A802" i="18"/>
  <c r="A801" i="18"/>
  <c r="C801" i="18" s="1"/>
  <c r="A800" i="18"/>
  <c r="B799" i="18"/>
  <c r="A799" i="18"/>
  <c r="C799" i="18" s="1"/>
  <c r="A798" i="18"/>
  <c r="B798" i="18" s="1"/>
  <c r="A797" i="18"/>
  <c r="A796" i="18"/>
  <c r="A795" i="18"/>
  <c r="C795" i="18" s="1"/>
  <c r="A794" i="18"/>
  <c r="C794" i="18" s="1"/>
  <c r="B793" i="18"/>
  <c r="A793" i="18"/>
  <c r="C793" i="18" s="1"/>
  <c r="A792" i="18"/>
  <c r="C792" i="18" s="1"/>
  <c r="A791" i="18"/>
  <c r="B791" i="18" s="1"/>
  <c r="C790" i="18"/>
  <c r="A790" i="18"/>
  <c r="B790" i="18" s="1"/>
  <c r="A789" i="18"/>
  <c r="A788" i="18"/>
  <c r="B788" i="18" s="1"/>
  <c r="A787" i="18"/>
  <c r="C787" i="18" s="1"/>
  <c r="A786" i="18"/>
  <c r="C786" i="18" s="1"/>
  <c r="A785" i="18"/>
  <c r="B785" i="18" s="1"/>
  <c r="A784" i="18"/>
  <c r="C784" i="18" s="1"/>
  <c r="A783" i="18"/>
  <c r="B783" i="18" s="1"/>
  <c r="A782" i="18"/>
  <c r="B782" i="18" s="1"/>
  <c r="A781" i="18"/>
  <c r="A780" i="18"/>
  <c r="A779" i="18"/>
  <c r="C779" i="18" s="1"/>
  <c r="A778" i="18"/>
  <c r="C778" i="18" s="1"/>
  <c r="A777" i="18"/>
  <c r="B777" i="18" s="1"/>
  <c r="A776" i="18"/>
  <c r="C776" i="18" s="1"/>
  <c r="A775" i="18"/>
  <c r="A774" i="18"/>
  <c r="B774" i="18" s="1"/>
  <c r="A773" i="18"/>
  <c r="A772" i="18"/>
  <c r="C772" i="18" s="1"/>
  <c r="A771" i="18"/>
  <c r="A770" i="18"/>
  <c r="C770" i="18" s="1"/>
  <c r="A769" i="18"/>
  <c r="C769" i="18" s="1"/>
  <c r="A768" i="18"/>
  <c r="A767" i="18"/>
  <c r="B767" i="18" s="1"/>
  <c r="A766" i="18"/>
  <c r="B766" i="18" s="1"/>
  <c r="A765" i="18"/>
  <c r="B765" i="18" s="1"/>
  <c r="A764" i="18"/>
  <c r="C764" i="18" s="1"/>
  <c r="A763" i="18"/>
  <c r="B762" i="18"/>
  <c r="A762" i="18"/>
  <c r="C762" i="18" s="1"/>
  <c r="A761" i="18"/>
  <c r="C760" i="18"/>
  <c r="B760" i="18"/>
  <c r="A760" i="18"/>
  <c r="A759" i="18"/>
  <c r="B759" i="18" s="1"/>
  <c r="A758" i="18"/>
  <c r="B758" i="18" s="1"/>
  <c r="A757" i="18"/>
  <c r="B757" i="18" s="1"/>
  <c r="C756" i="18"/>
  <c r="A756" i="18"/>
  <c r="B756" i="18" s="1"/>
  <c r="A755" i="18"/>
  <c r="A754" i="18"/>
  <c r="A753" i="18"/>
  <c r="C753" i="18" s="1"/>
  <c r="C752" i="18"/>
  <c r="A752" i="18"/>
  <c r="B752" i="18" s="1"/>
  <c r="A751" i="18"/>
  <c r="C751" i="18" s="1"/>
  <c r="A750" i="18"/>
  <c r="A749" i="18"/>
  <c r="B749" i="18" s="1"/>
  <c r="A748" i="18"/>
  <c r="A747" i="18"/>
  <c r="C747" i="18" s="1"/>
  <c r="A746" i="18"/>
  <c r="A745" i="18"/>
  <c r="C745" i="18" s="1"/>
  <c r="A744" i="18"/>
  <c r="B744" i="18" s="1"/>
  <c r="A743" i="18"/>
  <c r="C743" i="18" s="1"/>
  <c r="A742" i="18"/>
  <c r="B742" i="18" s="1"/>
  <c r="C741" i="18"/>
  <c r="A741" i="18"/>
  <c r="B741" i="18" s="1"/>
  <c r="A740" i="18"/>
  <c r="A739" i="18"/>
  <c r="C739" i="18" s="1"/>
  <c r="A738" i="18"/>
  <c r="A737" i="18"/>
  <c r="C737" i="18" s="1"/>
  <c r="A736" i="18"/>
  <c r="B736" i="18" s="1"/>
  <c r="B735" i="18"/>
  <c r="A735" i="18"/>
  <c r="C735" i="18" s="1"/>
  <c r="A734" i="18"/>
  <c r="A733" i="18"/>
  <c r="B733" i="18" s="1"/>
  <c r="A732" i="18"/>
  <c r="B731" i="18"/>
  <c r="A731" i="18"/>
  <c r="C731" i="18" s="1"/>
  <c r="A730" i="18"/>
  <c r="A729" i="18"/>
  <c r="C729" i="18" s="1"/>
  <c r="C728" i="18"/>
  <c r="A728" i="18"/>
  <c r="B728" i="18" s="1"/>
  <c r="A727" i="18"/>
  <c r="C727" i="18" s="1"/>
  <c r="A726" i="18"/>
  <c r="B726" i="18" s="1"/>
  <c r="A725" i="18"/>
  <c r="B725" i="18" s="1"/>
  <c r="A724" i="18"/>
  <c r="A723" i="18"/>
  <c r="C723" i="18" s="1"/>
  <c r="A722" i="18"/>
  <c r="A721" i="18"/>
  <c r="C721" i="18" s="1"/>
  <c r="A720" i="18"/>
  <c r="B720" i="18" s="1"/>
  <c r="A719" i="18"/>
  <c r="C719" i="18" s="1"/>
  <c r="A718" i="18"/>
  <c r="B718" i="18" s="1"/>
  <c r="A717" i="18"/>
  <c r="B717" i="18" s="1"/>
  <c r="A716" i="18"/>
  <c r="A715" i="18"/>
  <c r="C715" i="18" s="1"/>
  <c r="A714" i="18"/>
  <c r="A713" i="18"/>
  <c r="A712" i="18"/>
  <c r="C712" i="18" s="1"/>
  <c r="A711" i="18"/>
  <c r="C711" i="18" s="1"/>
  <c r="A710" i="18"/>
  <c r="A709" i="18"/>
  <c r="B709" i="18" s="1"/>
  <c r="A708" i="18"/>
  <c r="A707" i="18"/>
  <c r="C707" i="18" s="1"/>
  <c r="A706" i="18"/>
  <c r="A705" i="18"/>
  <c r="A704" i="18"/>
  <c r="C704" i="18" s="1"/>
  <c r="A703" i="18"/>
  <c r="C703" i="18" s="1"/>
  <c r="C702" i="18"/>
  <c r="A702" i="18"/>
  <c r="B702" i="18" s="1"/>
  <c r="A701" i="18"/>
  <c r="A700" i="18"/>
  <c r="A699" i="18"/>
  <c r="C699" i="18" s="1"/>
  <c r="A698" i="18"/>
  <c r="A697" i="18"/>
  <c r="B697" i="18" s="1"/>
  <c r="A696" i="18"/>
  <c r="C696" i="18" s="1"/>
  <c r="B695" i="18"/>
  <c r="A695" i="18"/>
  <c r="C695" i="18" s="1"/>
  <c r="A694" i="18"/>
  <c r="B694" i="18" s="1"/>
  <c r="C693" i="18"/>
  <c r="A693" i="18"/>
  <c r="B693" i="18" s="1"/>
  <c r="A692" i="18"/>
  <c r="A691" i="18"/>
  <c r="C691" i="18" s="1"/>
  <c r="A690" i="18"/>
  <c r="C689" i="18"/>
  <c r="A689" i="18"/>
  <c r="B689" i="18" s="1"/>
  <c r="A688" i="18"/>
  <c r="C688" i="18" s="1"/>
  <c r="A687" i="18"/>
  <c r="C687" i="18" s="1"/>
  <c r="A686" i="18"/>
  <c r="B686" i="18" s="1"/>
  <c r="A685" i="18"/>
  <c r="B685" i="18" s="1"/>
  <c r="A684" i="18"/>
  <c r="A683" i="18"/>
  <c r="C683" i="18" s="1"/>
  <c r="A682" i="18"/>
  <c r="C681" i="18"/>
  <c r="A681" i="18"/>
  <c r="B681" i="18" s="1"/>
  <c r="A680" i="18"/>
  <c r="C680" i="18" s="1"/>
  <c r="A679" i="18"/>
  <c r="B679" i="18" s="1"/>
  <c r="C678" i="18"/>
  <c r="A678" i="18"/>
  <c r="B678" i="18" s="1"/>
  <c r="A677" i="18"/>
  <c r="A676" i="18"/>
  <c r="A675" i="18"/>
  <c r="C675" i="18" s="1"/>
  <c r="A674" i="18"/>
  <c r="A673" i="18"/>
  <c r="C673" i="18" s="1"/>
  <c r="A672" i="18"/>
  <c r="C672" i="18" s="1"/>
  <c r="A671" i="18"/>
  <c r="C671" i="18" s="1"/>
  <c r="A670" i="18"/>
  <c r="B670" i="18" s="1"/>
  <c r="A669" i="18"/>
  <c r="B669" i="18" s="1"/>
  <c r="A668" i="18"/>
  <c r="A667" i="18"/>
  <c r="C667" i="18" s="1"/>
  <c r="A666" i="18"/>
  <c r="B665" i="18"/>
  <c r="A665" i="18"/>
  <c r="C665" i="18" s="1"/>
  <c r="A664" i="18"/>
  <c r="A663" i="18"/>
  <c r="B663" i="18" s="1"/>
  <c r="C662" i="18"/>
  <c r="A662" i="18"/>
  <c r="B662" i="18" s="1"/>
  <c r="A661" i="18"/>
  <c r="B661" i="18" s="1"/>
  <c r="A660" i="18"/>
  <c r="A659" i="18"/>
  <c r="C659" i="18" s="1"/>
  <c r="A658" i="18"/>
  <c r="B657" i="18"/>
  <c r="A657" i="18"/>
  <c r="C657" i="18" s="1"/>
  <c r="A656" i="18"/>
  <c r="A655" i="18"/>
  <c r="C655" i="18" s="1"/>
  <c r="A654" i="18"/>
  <c r="B654" i="18" s="1"/>
  <c r="A653" i="18"/>
  <c r="B653" i="18" s="1"/>
  <c r="A652" i="18"/>
  <c r="A651" i="18"/>
  <c r="A650" i="18"/>
  <c r="C649" i="18"/>
  <c r="A649" i="18"/>
  <c r="B649" i="18" s="1"/>
  <c r="A648" i="18"/>
  <c r="B648" i="18" s="1"/>
  <c r="A647" i="18"/>
  <c r="B647" i="18" s="1"/>
  <c r="A646" i="18"/>
  <c r="B646" i="18" s="1"/>
  <c r="C645" i="18"/>
  <c r="A645" i="18"/>
  <c r="B645" i="18" s="1"/>
  <c r="A644" i="18"/>
  <c r="A643" i="18"/>
  <c r="C643" i="18" s="1"/>
  <c r="A642" i="18"/>
  <c r="A641" i="18"/>
  <c r="B641" i="18" s="1"/>
  <c r="A640" i="18"/>
  <c r="B640" i="18" s="1"/>
  <c r="A639" i="18"/>
  <c r="C639" i="18" s="1"/>
  <c r="A638" i="18"/>
  <c r="B638" i="18" s="1"/>
  <c r="A637" i="18"/>
  <c r="B637" i="18" s="1"/>
  <c r="A636" i="18"/>
  <c r="A635" i="18"/>
  <c r="C635" i="18" s="1"/>
  <c r="A634" i="18"/>
  <c r="B633" i="18"/>
  <c r="A633" i="18"/>
  <c r="C633" i="18" s="1"/>
  <c r="A632" i="18"/>
  <c r="B632" i="18" s="1"/>
  <c r="A631" i="18"/>
  <c r="C631" i="18" s="1"/>
  <c r="A630" i="18"/>
  <c r="B630" i="18" s="1"/>
  <c r="C629" i="18"/>
  <c r="A629" i="18"/>
  <c r="B629" i="18" s="1"/>
  <c r="A628" i="18"/>
  <c r="A627" i="18"/>
  <c r="C627" i="18" s="1"/>
  <c r="A626" i="18"/>
  <c r="A625" i="18"/>
  <c r="B625" i="18" s="1"/>
  <c r="A624" i="18"/>
  <c r="C624" i="18" s="1"/>
  <c r="A623" i="18"/>
  <c r="C623" i="18" s="1"/>
  <c r="A622" i="18"/>
  <c r="B622" i="18" s="1"/>
  <c r="A621" i="18"/>
  <c r="B621" i="18" s="1"/>
  <c r="A620" i="18"/>
  <c r="B619" i="18"/>
  <c r="A619" i="18"/>
  <c r="C619" i="18" s="1"/>
  <c r="A618" i="18"/>
  <c r="A617" i="18"/>
  <c r="C617" i="18" s="1"/>
  <c r="C616" i="18"/>
  <c r="B616" i="18"/>
  <c r="A616" i="18"/>
  <c r="A615" i="18"/>
  <c r="C615" i="18" s="1"/>
  <c r="A614" i="18"/>
  <c r="B614" i="18" s="1"/>
  <c r="A613" i="18"/>
  <c r="B613" i="18" s="1"/>
  <c r="A612" i="18"/>
  <c r="A611" i="18"/>
  <c r="C611" i="18" s="1"/>
  <c r="A610" i="18"/>
  <c r="A609" i="18"/>
  <c r="A608" i="18"/>
  <c r="C608" i="18" s="1"/>
  <c r="A607" i="18"/>
  <c r="A606" i="18"/>
  <c r="B606" i="18" s="1"/>
  <c r="A605" i="18"/>
  <c r="A604" i="18"/>
  <c r="C603" i="18"/>
  <c r="A603" i="18"/>
  <c r="B603" i="18" s="1"/>
  <c r="C602" i="18"/>
  <c r="A602" i="18"/>
  <c r="B602" i="18" s="1"/>
  <c r="A601" i="18"/>
  <c r="C601" i="18" s="1"/>
  <c r="A600" i="18"/>
  <c r="B599" i="18"/>
  <c r="A599" i="18"/>
  <c r="C599" i="18" s="1"/>
  <c r="A598" i="18"/>
  <c r="C598" i="18" s="1"/>
  <c r="A597" i="18"/>
  <c r="A596" i="18"/>
  <c r="A595" i="18"/>
  <c r="B595" i="18" s="1"/>
  <c r="A594" i="18"/>
  <c r="B594" i="18" s="1"/>
  <c r="A593" i="18"/>
  <c r="C593" i="18" s="1"/>
  <c r="A592" i="18"/>
  <c r="A591" i="18"/>
  <c r="C591" i="18" s="1"/>
  <c r="B590" i="18"/>
  <c r="A590" i="18"/>
  <c r="C590" i="18" s="1"/>
  <c r="A589" i="18"/>
  <c r="A588" i="18"/>
  <c r="A587" i="18"/>
  <c r="B587" i="18" s="1"/>
  <c r="A586" i="18"/>
  <c r="B586" i="18" s="1"/>
  <c r="A585" i="18"/>
  <c r="A584" i="18"/>
  <c r="C583" i="18"/>
  <c r="A583" i="18"/>
  <c r="B583" i="18" s="1"/>
  <c r="A582" i="18"/>
  <c r="B582" i="18" s="1"/>
  <c r="A581" i="18"/>
  <c r="C581" i="18" s="1"/>
  <c r="A580" i="18"/>
  <c r="A579" i="18"/>
  <c r="C579" i="18" s="1"/>
  <c r="A578" i="18"/>
  <c r="B578" i="18" s="1"/>
  <c r="A577" i="18"/>
  <c r="C577" i="18" s="1"/>
  <c r="A576" i="18"/>
  <c r="A575" i="18"/>
  <c r="C575" i="18" s="1"/>
  <c r="A574" i="18"/>
  <c r="A573" i="18"/>
  <c r="C573" i="18" s="1"/>
  <c r="A572" i="18"/>
  <c r="A571" i="18"/>
  <c r="B571" i="18" s="1"/>
  <c r="A570" i="18"/>
  <c r="A569" i="18"/>
  <c r="A568" i="18"/>
  <c r="A567" i="18"/>
  <c r="C567" i="18" s="1"/>
  <c r="A566" i="18"/>
  <c r="A565" i="18"/>
  <c r="C565" i="18" s="1"/>
  <c r="A564" i="18"/>
  <c r="A563" i="18"/>
  <c r="C563" i="18" s="1"/>
  <c r="A562" i="18"/>
  <c r="A561" i="18"/>
  <c r="C561" i="18" s="1"/>
  <c r="A560" i="18"/>
  <c r="A559" i="18"/>
  <c r="C559" i="18" s="1"/>
  <c r="A558" i="18"/>
  <c r="C558" i="18" s="1"/>
  <c r="B557" i="18"/>
  <c r="A557" i="18"/>
  <c r="C557" i="18" s="1"/>
  <c r="A556" i="18"/>
  <c r="A555" i="18"/>
  <c r="B555" i="18" s="1"/>
  <c r="C554" i="18"/>
  <c r="A554" i="18"/>
  <c r="B554" i="18" s="1"/>
  <c r="B553" i="18"/>
  <c r="A553" i="18"/>
  <c r="C553" i="18" s="1"/>
  <c r="A552" i="18"/>
  <c r="A551" i="18"/>
  <c r="B551" i="18" s="1"/>
  <c r="A550" i="18"/>
  <c r="C550" i="18" s="1"/>
  <c r="A549" i="18"/>
  <c r="C549" i="18" s="1"/>
  <c r="A548" i="18"/>
  <c r="A547" i="18"/>
  <c r="A546" i="18"/>
  <c r="B546" i="18" s="1"/>
  <c r="A545" i="18"/>
  <c r="C545" i="18" s="1"/>
  <c r="A544" i="18"/>
  <c r="A543" i="18"/>
  <c r="A542" i="18"/>
  <c r="C542" i="18" s="1"/>
  <c r="B541" i="18"/>
  <c r="A541" i="18"/>
  <c r="C541" i="18" s="1"/>
  <c r="A540" i="18"/>
  <c r="A539" i="18"/>
  <c r="C539" i="18" s="1"/>
  <c r="C538" i="18"/>
  <c r="A538" i="18"/>
  <c r="B538" i="18" s="1"/>
  <c r="A537" i="18"/>
  <c r="C537" i="18" s="1"/>
  <c r="A536" i="18"/>
  <c r="A535" i="18"/>
  <c r="C535" i="18" s="1"/>
  <c r="A534" i="18"/>
  <c r="B534" i="18" s="1"/>
  <c r="B533" i="18"/>
  <c r="A533" i="18"/>
  <c r="C533" i="18" s="1"/>
  <c r="A532" i="18"/>
  <c r="C531" i="18"/>
  <c r="A531" i="18"/>
  <c r="B531" i="18" s="1"/>
  <c r="A530" i="18"/>
  <c r="B530" i="18" s="1"/>
  <c r="A529" i="18"/>
  <c r="C529" i="18" s="1"/>
  <c r="A528" i="18"/>
  <c r="A527" i="18"/>
  <c r="C527" i="18" s="1"/>
  <c r="A526" i="18"/>
  <c r="B526" i="18" s="1"/>
  <c r="B525" i="18"/>
  <c r="A525" i="18"/>
  <c r="C525" i="18" s="1"/>
  <c r="A524" i="18"/>
  <c r="A523" i="18"/>
  <c r="C523" i="18" s="1"/>
  <c r="A522" i="18"/>
  <c r="B522" i="18" s="1"/>
  <c r="B521" i="18"/>
  <c r="A521" i="18"/>
  <c r="C521" i="18" s="1"/>
  <c r="A520" i="18"/>
  <c r="A519" i="18"/>
  <c r="C519" i="18" s="1"/>
  <c r="A518" i="18"/>
  <c r="C518" i="18" s="1"/>
  <c r="A517" i="18"/>
  <c r="C517" i="18" s="1"/>
  <c r="A516" i="18"/>
  <c r="A515" i="18"/>
  <c r="C515" i="18" s="1"/>
  <c r="A514" i="18"/>
  <c r="B514" i="18" s="1"/>
  <c r="A513" i="18"/>
  <c r="C513" i="18" s="1"/>
  <c r="A512" i="18"/>
  <c r="B512" i="18" s="1"/>
  <c r="A511" i="18"/>
  <c r="C511" i="18" s="1"/>
  <c r="A510" i="18"/>
  <c r="C510" i="18" s="1"/>
  <c r="A509" i="18"/>
  <c r="A508" i="18"/>
  <c r="B508" i="18" s="1"/>
  <c r="A507" i="18"/>
  <c r="B507" i="18" s="1"/>
  <c r="A506" i="18"/>
  <c r="A505" i="18"/>
  <c r="C505" i="18" s="1"/>
  <c r="A504" i="18"/>
  <c r="B504" i="18" s="1"/>
  <c r="C503" i="18"/>
  <c r="A503" i="18"/>
  <c r="B503" i="18" s="1"/>
  <c r="A502" i="18"/>
  <c r="C502" i="18" s="1"/>
  <c r="A501" i="18"/>
  <c r="C501" i="18" s="1"/>
  <c r="A500" i="18"/>
  <c r="B500" i="18" s="1"/>
  <c r="A499" i="18"/>
  <c r="C499" i="18" s="1"/>
  <c r="A498" i="18"/>
  <c r="B498" i="18" s="1"/>
  <c r="A497" i="18"/>
  <c r="C497" i="18" s="1"/>
  <c r="A496" i="18"/>
  <c r="B496" i="18" s="1"/>
  <c r="A495" i="18"/>
  <c r="B495" i="18" s="1"/>
  <c r="A494" i="18"/>
  <c r="B494" i="18" s="1"/>
  <c r="A493" i="18"/>
  <c r="A492" i="18"/>
  <c r="B492" i="18" s="1"/>
  <c r="C491" i="18"/>
  <c r="A491" i="18"/>
  <c r="B491" i="18" s="1"/>
  <c r="A490" i="18"/>
  <c r="B490" i="18" s="1"/>
  <c r="A489" i="18"/>
  <c r="A488" i="18"/>
  <c r="B488" i="18" s="1"/>
  <c r="A487" i="18"/>
  <c r="B487" i="18" s="1"/>
  <c r="A486" i="18"/>
  <c r="A485" i="18"/>
  <c r="C485" i="18" s="1"/>
  <c r="A484" i="18"/>
  <c r="B484" i="18" s="1"/>
  <c r="A483" i="18"/>
  <c r="B483" i="18" s="1"/>
  <c r="A482" i="18"/>
  <c r="B482" i="18" s="1"/>
  <c r="A481" i="18"/>
  <c r="C481" i="18" s="1"/>
  <c r="A480" i="18"/>
  <c r="B480" i="18" s="1"/>
  <c r="A479" i="18"/>
  <c r="C479" i="18" s="1"/>
  <c r="A478" i="18"/>
  <c r="B478" i="18" s="1"/>
  <c r="A477" i="18"/>
  <c r="C477" i="18" s="1"/>
  <c r="A476" i="18"/>
  <c r="B476" i="18" s="1"/>
  <c r="A475" i="18"/>
  <c r="B475" i="18" s="1"/>
  <c r="A474" i="18"/>
  <c r="B474" i="18" s="1"/>
  <c r="A473" i="18"/>
  <c r="A472" i="18"/>
  <c r="A471" i="18"/>
  <c r="B471" i="18" s="1"/>
  <c r="A470" i="18"/>
  <c r="C470" i="18" s="1"/>
  <c r="A469" i="18"/>
  <c r="A468" i="18"/>
  <c r="B468" i="18" s="1"/>
  <c r="B467" i="18"/>
  <c r="A467" i="18"/>
  <c r="C467" i="18" s="1"/>
  <c r="A466" i="18"/>
  <c r="B466" i="18" s="1"/>
  <c r="A465" i="18"/>
  <c r="C465" i="18" s="1"/>
  <c r="A464" i="18"/>
  <c r="B464" i="18" s="1"/>
  <c r="A463" i="18"/>
  <c r="B463" i="18" s="1"/>
  <c r="A462" i="18"/>
  <c r="C462" i="18" s="1"/>
  <c r="A461" i="18"/>
  <c r="C461" i="18" s="1"/>
  <c r="A460" i="18"/>
  <c r="B460" i="18" s="1"/>
  <c r="A459" i="18"/>
  <c r="B459" i="18" s="1"/>
  <c r="A458" i="18"/>
  <c r="B458" i="18" s="1"/>
  <c r="A457" i="18"/>
  <c r="C457" i="18" s="1"/>
  <c r="A456" i="18"/>
  <c r="B456" i="18" s="1"/>
  <c r="A455" i="18"/>
  <c r="B455" i="18" s="1"/>
  <c r="A454" i="18"/>
  <c r="C454" i="18" s="1"/>
  <c r="A453" i="18"/>
  <c r="A452" i="18"/>
  <c r="A451" i="18"/>
  <c r="B451" i="18" s="1"/>
  <c r="A450" i="18"/>
  <c r="B450" i="18" s="1"/>
  <c r="A449" i="18"/>
  <c r="C449" i="18" s="1"/>
  <c r="A448" i="18"/>
  <c r="B448" i="18" s="1"/>
  <c r="A447" i="18"/>
  <c r="B447" i="18" s="1"/>
  <c r="A446" i="18"/>
  <c r="B446" i="18" s="1"/>
  <c r="B445" i="18"/>
  <c r="A445" i="18"/>
  <c r="C445" i="18" s="1"/>
  <c r="A444" i="18"/>
  <c r="B444" i="18" s="1"/>
  <c r="B443" i="18"/>
  <c r="A443" i="18"/>
  <c r="C443" i="18" s="1"/>
  <c r="A442" i="18"/>
  <c r="A441" i="18"/>
  <c r="A440" i="18"/>
  <c r="B440" i="18" s="1"/>
  <c r="B439" i="18"/>
  <c r="A439" i="18"/>
  <c r="C439" i="18" s="1"/>
  <c r="A438" i="18"/>
  <c r="B437" i="18"/>
  <c r="A437" i="18"/>
  <c r="C437" i="18" s="1"/>
  <c r="A436" i="18"/>
  <c r="A435" i="18"/>
  <c r="B435" i="18" s="1"/>
  <c r="A434" i="18"/>
  <c r="C434" i="18" s="1"/>
  <c r="B433" i="18"/>
  <c r="A433" i="18"/>
  <c r="C433" i="18" s="1"/>
  <c r="A432" i="18"/>
  <c r="A431" i="18"/>
  <c r="B431" i="18" s="1"/>
  <c r="A430" i="18"/>
  <c r="C430" i="18" s="1"/>
  <c r="A429" i="18"/>
  <c r="A428" i="18"/>
  <c r="A427" i="18"/>
  <c r="B427" i="18" s="1"/>
  <c r="A426" i="18"/>
  <c r="A425" i="18"/>
  <c r="C425" i="18" s="1"/>
  <c r="A424" i="18"/>
  <c r="A423" i="18"/>
  <c r="B423" i="18" s="1"/>
  <c r="A422" i="18"/>
  <c r="B422" i="18" s="1"/>
  <c r="A421" i="18"/>
  <c r="A420" i="18"/>
  <c r="B420" i="18" s="1"/>
  <c r="A419" i="18"/>
  <c r="C419" i="18" s="1"/>
  <c r="A418" i="18"/>
  <c r="C418" i="18" s="1"/>
  <c r="B417" i="18"/>
  <c r="A417" i="18"/>
  <c r="C417" i="18" s="1"/>
  <c r="A416" i="18"/>
  <c r="A415" i="18"/>
  <c r="C415" i="18" s="1"/>
  <c r="B414" i="18"/>
  <c r="A414" i="18"/>
  <c r="C414" i="18" s="1"/>
  <c r="A413" i="18"/>
  <c r="A412" i="18"/>
  <c r="B412" i="18" s="1"/>
  <c r="A411" i="18"/>
  <c r="C411" i="18" s="1"/>
  <c r="A410" i="18"/>
  <c r="A409" i="18"/>
  <c r="A408" i="18"/>
  <c r="B408" i="18" s="1"/>
  <c r="A407" i="18"/>
  <c r="C407" i="18" s="1"/>
  <c r="A406" i="18"/>
  <c r="B406" i="18" s="1"/>
  <c r="A405" i="18"/>
  <c r="C405" i="18" s="1"/>
  <c r="A404" i="18"/>
  <c r="A403" i="18"/>
  <c r="B403" i="18" s="1"/>
  <c r="B402" i="18"/>
  <c r="A402" i="18"/>
  <c r="C402" i="18" s="1"/>
  <c r="A401" i="18"/>
  <c r="C401" i="18" s="1"/>
  <c r="A400" i="18"/>
  <c r="A399" i="18"/>
  <c r="C399" i="18" s="1"/>
  <c r="A398" i="18"/>
  <c r="C398" i="18" s="1"/>
  <c r="A397" i="18"/>
  <c r="A396" i="18"/>
  <c r="C395" i="18"/>
  <c r="B395" i="18"/>
  <c r="A395" i="18"/>
  <c r="A394" i="18"/>
  <c r="A393" i="18"/>
  <c r="C393" i="18" s="1"/>
  <c r="A392" i="18"/>
  <c r="C391" i="18"/>
  <c r="A391" i="18"/>
  <c r="B391" i="18" s="1"/>
  <c r="A390" i="18"/>
  <c r="B390" i="18" s="1"/>
  <c r="A389" i="18"/>
  <c r="A388" i="18"/>
  <c r="B388" i="18" s="1"/>
  <c r="B387" i="18"/>
  <c r="A387" i="18"/>
  <c r="C387" i="18" s="1"/>
  <c r="A386" i="18"/>
  <c r="C386" i="18" s="1"/>
  <c r="A385" i="18"/>
  <c r="C385" i="18" s="1"/>
  <c r="A384" i="18"/>
  <c r="A383" i="18"/>
  <c r="C383" i="18" s="1"/>
  <c r="A382" i="18"/>
  <c r="C382" i="18" s="1"/>
  <c r="A381" i="18"/>
  <c r="A380" i="18"/>
  <c r="B380" i="18" s="1"/>
  <c r="A379" i="18"/>
  <c r="C379" i="18" s="1"/>
  <c r="A378" i="18"/>
  <c r="A377" i="18"/>
  <c r="A376" i="18"/>
  <c r="B376" i="18" s="1"/>
  <c r="B375" i="18"/>
  <c r="A375" i="18"/>
  <c r="C375" i="18" s="1"/>
  <c r="A374" i="18"/>
  <c r="A373" i="18"/>
  <c r="C373" i="18" s="1"/>
  <c r="A372" i="18"/>
  <c r="B371" i="18"/>
  <c r="A371" i="18"/>
  <c r="C371" i="18" s="1"/>
  <c r="A370" i="18"/>
  <c r="A369" i="18"/>
  <c r="C369" i="18" s="1"/>
  <c r="A368" i="18"/>
  <c r="A367" i="18"/>
  <c r="B367" i="18" s="1"/>
  <c r="A366" i="18"/>
  <c r="C366" i="18" s="1"/>
  <c r="B365" i="18"/>
  <c r="A365" i="18"/>
  <c r="C365" i="18" s="1"/>
  <c r="A364" i="18"/>
  <c r="B364" i="18" s="1"/>
  <c r="A363" i="18"/>
  <c r="B363" i="18" s="1"/>
  <c r="A362" i="18"/>
  <c r="C362" i="18" s="1"/>
  <c r="A361" i="18"/>
  <c r="C361" i="18" s="1"/>
  <c r="A360" i="18"/>
  <c r="C360" i="18" s="1"/>
  <c r="B359" i="18"/>
  <c r="A359" i="18"/>
  <c r="C359" i="18" s="1"/>
  <c r="A358" i="18"/>
  <c r="B358" i="18" s="1"/>
  <c r="A357" i="18"/>
  <c r="A356" i="18"/>
  <c r="B356" i="18" s="1"/>
  <c r="A355" i="18"/>
  <c r="B355" i="18" s="1"/>
  <c r="A354" i="18"/>
  <c r="A353" i="18"/>
  <c r="C353" i="18" s="1"/>
  <c r="A352" i="18"/>
  <c r="B352" i="18" s="1"/>
  <c r="A351" i="18"/>
  <c r="C351" i="18" s="1"/>
  <c r="A350" i="18"/>
  <c r="B350" i="18" s="1"/>
  <c r="A349" i="18"/>
  <c r="C349" i="18" s="1"/>
  <c r="A348" i="18"/>
  <c r="A347" i="18"/>
  <c r="A346" i="18"/>
  <c r="C346" i="18" s="1"/>
  <c r="A345" i="18"/>
  <c r="A344" i="18"/>
  <c r="B344" i="18" s="1"/>
  <c r="A343" i="18"/>
  <c r="A342" i="18"/>
  <c r="C342" i="18" s="1"/>
  <c r="A341" i="18"/>
  <c r="C341" i="18" s="1"/>
  <c r="A340" i="18"/>
  <c r="A339" i="18"/>
  <c r="C339" i="18" s="1"/>
  <c r="A338" i="18"/>
  <c r="C338" i="18" s="1"/>
  <c r="A337" i="18"/>
  <c r="A336" i="18"/>
  <c r="C336" i="18" s="1"/>
  <c r="A335" i="18"/>
  <c r="C335" i="18" s="1"/>
  <c r="C334" i="18"/>
  <c r="A334" i="18"/>
  <c r="B334" i="18" s="1"/>
  <c r="A333" i="18"/>
  <c r="C333" i="18" s="1"/>
  <c r="A332" i="18"/>
  <c r="B332" i="18" s="1"/>
  <c r="A331" i="18"/>
  <c r="A330" i="18"/>
  <c r="B330" i="18" s="1"/>
  <c r="A329" i="18"/>
  <c r="C329" i="18" s="1"/>
  <c r="A328" i="18"/>
  <c r="C328" i="18" s="1"/>
  <c r="A327" i="18"/>
  <c r="C327" i="18" s="1"/>
  <c r="C326" i="18"/>
  <c r="A326" i="18"/>
  <c r="B326" i="18" s="1"/>
  <c r="C325" i="18"/>
  <c r="A325" i="18"/>
  <c r="B325" i="18" s="1"/>
  <c r="A324" i="18"/>
  <c r="B324" i="18" s="1"/>
  <c r="A323" i="18"/>
  <c r="A322" i="18"/>
  <c r="B322" i="18" s="1"/>
  <c r="B321" i="18"/>
  <c r="A321" i="18"/>
  <c r="C321" i="18" s="1"/>
  <c r="A320" i="18"/>
  <c r="C320" i="18" s="1"/>
  <c r="A319" i="18"/>
  <c r="C319" i="18" s="1"/>
  <c r="A318" i="18"/>
  <c r="B318" i="18" s="1"/>
  <c r="A317" i="18"/>
  <c r="C317" i="18" s="1"/>
  <c r="A316" i="18"/>
  <c r="B316" i="18" s="1"/>
  <c r="A315" i="18"/>
  <c r="A314" i="18"/>
  <c r="B314" i="18" s="1"/>
  <c r="A313" i="18"/>
  <c r="C313" i="18" s="1"/>
  <c r="A312" i="18"/>
  <c r="C312" i="18" s="1"/>
  <c r="A311" i="18"/>
  <c r="C311" i="18" s="1"/>
  <c r="A310" i="18"/>
  <c r="C310" i="18" s="1"/>
  <c r="A309" i="18"/>
  <c r="B309" i="18" s="1"/>
  <c r="A308" i="18"/>
  <c r="B308" i="18" s="1"/>
  <c r="A307" i="18"/>
  <c r="A306" i="18"/>
  <c r="A305" i="18"/>
  <c r="C305" i="18" s="1"/>
  <c r="A304" i="18"/>
  <c r="C304" i="18" s="1"/>
  <c r="A303" i="18"/>
  <c r="C303" i="18" s="1"/>
  <c r="A302" i="18"/>
  <c r="B302" i="18" s="1"/>
  <c r="A301" i="18"/>
  <c r="C301" i="18" s="1"/>
  <c r="A300" i="18"/>
  <c r="A299" i="18"/>
  <c r="C298" i="18"/>
  <c r="A298" i="18"/>
  <c r="B298" i="18" s="1"/>
  <c r="A297" i="18"/>
  <c r="A296" i="18"/>
  <c r="C296" i="18" s="1"/>
  <c r="A295" i="18"/>
  <c r="C295" i="18" s="1"/>
  <c r="A294" i="18"/>
  <c r="B294" i="18" s="1"/>
  <c r="A293" i="18"/>
  <c r="C293" i="18" s="1"/>
  <c r="A292" i="18"/>
  <c r="A291" i="18"/>
  <c r="A290" i="18"/>
  <c r="B290" i="18" s="1"/>
  <c r="A289" i="18"/>
  <c r="C289" i="18" s="1"/>
  <c r="A288" i="18"/>
  <c r="C288" i="18" s="1"/>
  <c r="A287" i="18"/>
  <c r="C287" i="18" s="1"/>
  <c r="A286" i="18"/>
  <c r="C286" i="18" s="1"/>
  <c r="A285" i="18"/>
  <c r="A284" i="18"/>
  <c r="A283" i="18"/>
  <c r="A282" i="18"/>
  <c r="A281" i="18"/>
  <c r="C281" i="18" s="1"/>
  <c r="A280" i="18"/>
  <c r="C280" i="18" s="1"/>
  <c r="B279" i="18"/>
  <c r="A279" i="18"/>
  <c r="C279" i="18" s="1"/>
  <c r="A278" i="18"/>
  <c r="B278" i="18" s="1"/>
  <c r="A277" i="18"/>
  <c r="B277" i="18" s="1"/>
  <c r="A276" i="18"/>
  <c r="A275" i="18"/>
  <c r="A274" i="18"/>
  <c r="B274" i="18" s="1"/>
  <c r="A273" i="18"/>
  <c r="C273" i="18" s="1"/>
  <c r="A272" i="18"/>
  <c r="C272" i="18" s="1"/>
  <c r="A271" i="18"/>
  <c r="A270" i="18"/>
  <c r="C270" i="18" s="1"/>
  <c r="C269" i="18"/>
  <c r="B269" i="18"/>
  <c r="A269" i="18"/>
  <c r="A268" i="18"/>
  <c r="A267" i="18"/>
  <c r="A266" i="18"/>
  <c r="B266" i="18" s="1"/>
  <c r="A265" i="18"/>
  <c r="A264" i="18"/>
  <c r="C264" i="18" s="1"/>
  <c r="A263" i="18"/>
  <c r="C263" i="18" s="1"/>
  <c r="C262" i="18"/>
  <c r="A262" i="18"/>
  <c r="B262" i="18" s="1"/>
  <c r="A261" i="18"/>
  <c r="C261" i="18" s="1"/>
  <c r="A260" i="18"/>
  <c r="A259" i="18"/>
  <c r="A258" i="18"/>
  <c r="B258" i="18" s="1"/>
  <c r="A257" i="18"/>
  <c r="C257" i="18" s="1"/>
  <c r="A256" i="18"/>
  <c r="C256" i="18" s="1"/>
  <c r="B255" i="18"/>
  <c r="A255" i="18"/>
  <c r="C255" i="18" s="1"/>
  <c r="A254" i="18"/>
  <c r="B254" i="18" s="1"/>
  <c r="A253" i="18"/>
  <c r="B253" i="18" s="1"/>
  <c r="A252" i="18"/>
  <c r="A251" i="18"/>
  <c r="A250" i="18"/>
  <c r="B250" i="18" s="1"/>
  <c r="A249" i="18"/>
  <c r="C249" i="18" s="1"/>
  <c r="A248" i="18"/>
  <c r="C248" i="18" s="1"/>
  <c r="A247" i="18"/>
  <c r="C247" i="18" s="1"/>
  <c r="A246" i="18"/>
  <c r="C246" i="18" s="1"/>
  <c r="B245" i="18"/>
  <c r="A245" i="18"/>
  <c r="C245" i="18" s="1"/>
  <c r="A244" i="18"/>
  <c r="A243" i="18"/>
  <c r="A242" i="18"/>
  <c r="A241" i="18"/>
  <c r="C241" i="18" s="1"/>
  <c r="A240" i="18"/>
  <c r="C240" i="18" s="1"/>
  <c r="A239" i="18"/>
  <c r="A238" i="18"/>
  <c r="B238" i="18" s="1"/>
  <c r="A237" i="18"/>
  <c r="C237" i="18" s="1"/>
  <c r="A236" i="18"/>
  <c r="A235" i="18"/>
  <c r="A234" i="18"/>
  <c r="B234" i="18" s="1"/>
  <c r="A233" i="18"/>
  <c r="C233" i="18" s="1"/>
  <c r="A232" i="18"/>
  <c r="C232" i="18" s="1"/>
  <c r="A231" i="18"/>
  <c r="C231" i="18" s="1"/>
  <c r="A230" i="18"/>
  <c r="C230" i="18" s="1"/>
  <c r="A229" i="18"/>
  <c r="B229" i="18" s="1"/>
  <c r="A228" i="18"/>
  <c r="A227" i="18"/>
  <c r="A226" i="18"/>
  <c r="B226" i="18" s="1"/>
  <c r="A225" i="18"/>
  <c r="A224" i="18"/>
  <c r="C224" i="18" s="1"/>
  <c r="A223" i="18"/>
  <c r="C223" i="18" s="1"/>
  <c r="A222" i="18"/>
  <c r="C222" i="18" s="1"/>
  <c r="A221" i="18"/>
  <c r="C221" i="18" s="1"/>
  <c r="A220" i="18"/>
  <c r="A219" i="18"/>
  <c r="A218" i="18"/>
  <c r="A217" i="18"/>
  <c r="C217" i="18" s="1"/>
  <c r="A216" i="18"/>
  <c r="C216" i="18" s="1"/>
  <c r="A215" i="18"/>
  <c r="C215" i="18" s="1"/>
  <c r="C214" i="18"/>
  <c r="B214" i="18"/>
  <c r="A214" i="18"/>
  <c r="A213" i="18"/>
  <c r="C213" i="18" s="1"/>
  <c r="A212" i="18"/>
  <c r="A211" i="18"/>
  <c r="A210" i="18"/>
  <c r="B210" i="18" s="1"/>
  <c r="A209" i="18"/>
  <c r="C209" i="18" s="1"/>
  <c r="A208" i="18"/>
  <c r="C208" i="18" s="1"/>
  <c r="B207" i="18"/>
  <c r="A207" i="18"/>
  <c r="C207" i="18" s="1"/>
  <c r="A206" i="18"/>
  <c r="C206" i="18" s="1"/>
  <c r="A205" i="18"/>
  <c r="C205" i="18" s="1"/>
  <c r="A204" i="18"/>
  <c r="A203" i="18"/>
  <c r="A202" i="18"/>
  <c r="B202" i="18" s="1"/>
  <c r="A201" i="18"/>
  <c r="C201" i="18" s="1"/>
  <c r="A200" i="18"/>
  <c r="C200" i="18" s="1"/>
  <c r="A199" i="18"/>
  <c r="C199" i="18" s="1"/>
  <c r="A198" i="18"/>
  <c r="B198" i="18" s="1"/>
  <c r="A197" i="18"/>
  <c r="B197" i="18" s="1"/>
  <c r="A196" i="18"/>
  <c r="A195" i="18"/>
  <c r="A194" i="18"/>
  <c r="B194" i="18" s="1"/>
  <c r="A193" i="18"/>
  <c r="C193" i="18" s="1"/>
  <c r="A192" i="18"/>
  <c r="C192" i="18" s="1"/>
  <c r="A191" i="18"/>
  <c r="C191" i="18" s="1"/>
  <c r="A190" i="18"/>
  <c r="C190" i="18" s="1"/>
  <c r="A189" i="18"/>
  <c r="B189" i="18" s="1"/>
  <c r="A188" i="18"/>
  <c r="A187" i="18"/>
  <c r="A186" i="18"/>
  <c r="B186" i="18" s="1"/>
  <c r="A185" i="18"/>
  <c r="C185" i="18" s="1"/>
  <c r="A184" i="18"/>
  <c r="C184" i="18" s="1"/>
  <c r="A183" i="18"/>
  <c r="C183" i="18" s="1"/>
  <c r="A182" i="18"/>
  <c r="C182" i="18" s="1"/>
  <c r="A181" i="18"/>
  <c r="B181" i="18" s="1"/>
  <c r="A180" i="18"/>
  <c r="A179" i="18"/>
  <c r="A178" i="18"/>
  <c r="B178" i="18" s="1"/>
  <c r="A177" i="18"/>
  <c r="C177" i="18" s="1"/>
  <c r="A176" i="18"/>
  <c r="C176" i="18" s="1"/>
  <c r="A175" i="18"/>
  <c r="C175" i="18" s="1"/>
  <c r="A174" i="18"/>
  <c r="C174" i="18" s="1"/>
  <c r="A173" i="18"/>
  <c r="C173" i="18" s="1"/>
  <c r="A172" i="18"/>
  <c r="A171" i="18"/>
  <c r="C170" i="18"/>
  <c r="A170" i="18"/>
  <c r="B170" i="18" s="1"/>
  <c r="A169" i="18"/>
  <c r="C169" i="18" s="1"/>
  <c r="B168" i="18"/>
  <c r="A168" i="18"/>
  <c r="C168" i="18" s="1"/>
  <c r="A167" i="18"/>
  <c r="C167" i="18" s="1"/>
  <c r="A166" i="18"/>
  <c r="C166" i="18" s="1"/>
  <c r="C165" i="18"/>
  <c r="B165" i="18"/>
  <c r="A165" i="18"/>
  <c r="A164" i="18"/>
  <c r="A163" i="18"/>
  <c r="A162" i="18"/>
  <c r="B162" i="18" s="1"/>
  <c r="A161" i="18"/>
  <c r="C161" i="18" s="1"/>
  <c r="A160" i="18"/>
  <c r="C160" i="18" s="1"/>
  <c r="A159" i="18"/>
  <c r="C159" i="18" s="1"/>
  <c r="A158" i="18"/>
  <c r="C158" i="18" s="1"/>
  <c r="A157" i="18"/>
  <c r="C157" i="18" s="1"/>
  <c r="A156" i="18"/>
  <c r="A155" i="18"/>
  <c r="A154" i="18"/>
  <c r="B154" i="18" s="1"/>
  <c r="A153" i="18"/>
  <c r="C153" i="18" s="1"/>
  <c r="B152" i="18"/>
  <c r="A152" i="18"/>
  <c r="C152" i="18" s="1"/>
  <c r="A151" i="18"/>
  <c r="C151" i="18" s="1"/>
  <c r="A150" i="18"/>
  <c r="C150" i="18" s="1"/>
  <c r="A149" i="18"/>
  <c r="C149" i="18" s="1"/>
  <c r="A148" i="18"/>
  <c r="A147" i="18"/>
  <c r="A146" i="18"/>
  <c r="B146" i="18" s="1"/>
  <c r="A145" i="18"/>
  <c r="C145" i="18" s="1"/>
  <c r="A144" i="18"/>
  <c r="C144" i="18" s="1"/>
  <c r="A143" i="18"/>
  <c r="C143" i="18" s="1"/>
  <c r="A142" i="18"/>
  <c r="C142" i="18" s="1"/>
  <c r="A141" i="18"/>
  <c r="C141" i="18" s="1"/>
  <c r="A140" i="18"/>
  <c r="A139" i="18"/>
  <c r="B139" i="18" s="1"/>
  <c r="A138" i="18"/>
  <c r="B138" i="18" s="1"/>
  <c r="A137" i="18"/>
  <c r="C137" i="18" s="1"/>
  <c r="A136" i="18"/>
  <c r="C136" i="18" s="1"/>
  <c r="A135" i="18"/>
  <c r="C135" i="18" s="1"/>
  <c r="A134" i="18"/>
  <c r="C134" i="18" s="1"/>
  <c r="A133" i="18"/>
  <c r="C133" i="18" s="1"/>
  <c r="A132" i="18"/>
  <c r="A131" i="18"/>
  <c r="B131" i="18" s="1"/>
  <c r="A130" i="18"/>
  <c r="B130" i="18" s="1"/>
  <c r="A129" i="18"/>
  <c r="C129" i="18" s="1"/>
  <c r="A128" i="18"/>
  <c r="C128" i="18" s="1"/>
  <c r="A127" i="18"/>
  <c r="C127" i="18" s="1"/>
  <c r="A126" i="18"/>
  <c r="C126" i="18" s="1"/>
  <c r="A125" i="18"/>
  <c r="B125" i="18" s="1"/>
  <c r="A124" i="18"/>
  <c r="A123" i="18"/>
  <c r="B123" i="18" s="1"/>
  <c r="A122" i="18"/>
  <c r="B122" i="18" s="1"/>
  <c r="A121" i="18"/>
  <c r="C121" i="18" s="1"/>
  <c r="A120" i="18"/>
  <c r="C120" i="18" s="1"/>
  <c r="A119" i="18"/>
  <c r="B119" i="18" s="1"/>
  <c r="A118" i="18"/>
  <c r="B118" i="18" s="1"/>
  <c r="A117" i="18"/>
  <c r="B117" i="18" s="1"/>
  <c r="A116" i="18"/>
  <c r="A115" i="18"/>
  <c r="B115" i="18" s="1"/>
  <c r="A114" i="18"/>
  <c r="B114" i="18" s="1"/>
  <c r="A113" i="18"/>
  <c r="C113" i="18" s="1"/>
  <c r="A112" i="18"/>
  <c r="C112" i="18" s="1"/>
  <c r="A111" i="18"/>
  <c r="C111" i="18" s="1"/>
  <c r="A110" i="18"/>
  <c r="C110" i="18" s="1"/>
  <c r="A109" i="18"/>
  <c r="C109" i="18" s="1"/>
  <c r="A108" i="18"/>
  <c r="A107" i="18"/>
  <c r="B107" i="18" s="1"/>
  <c r="C106" i="18"/>
  <c r="A106" i="18"/>
  <c r="B106" i="18" s="1"/>
  <c r="A105" i="18"/>
  <c r="C105" i="18" s="1"/>
  <c r="A104" i="18"/>
  <c r="C104" i="18" s="1"/>
  <c r="A103" i="18"/>
  <c r="B103" i="18" s="1"/>
  <c r="A102" i="18"/>
  <c r="C102" i="18" s="1"/>
  <c r="A101" i="18"/>
  <c r="C101" i="18" s="1"/>
  <c r="A100" i="18"/>
  <c r="B100" i="18" s="1"/>
  <c r="A99" i="18"/>
  <c r="B99" i="18" s="1"/>
  <c r="A98" i="18"/>
  <c r="B98" i="18" s="1"/>
  <c r="A97" i="18"/>
  <c r="C97" i="18" s="1"/>
  <c r="A96" i="18"/>
  <c r="C96" i="18" s="1"/>
  <c r="C95" i="18"/>
  <c r="A95" i="18"/>
  <c r="B95" i="18" s="1"/>
  <c r="B94" i="18"/>
  <c r="A94" i="18"/>
  <c r="C94" i="18" s="1"/>
  <c r="A93" i="18"/>
  <c r="B93" i="18" s="1"/>
  <c r="A92" i="18"/>
  <c r="B92" i="18" s="1"/>
  <c r="A91" i="18"/>
  <c r="B91" i="18" s="1"/>
  <c r="A90" i="18"/>
  <c r="B90" i="18" s="1"/>
  <c r="A89" i="18"/>
  <c r="C89" i="18" s="1"/>
  <c r="A88" i="18"/>
  <c r="C88" i="18" s="1"/>
  <c r="A87" i="18"/>
  <c r="C87" i="18" s="1"/>
  <c r="A86" i="18"/>
  <c r="C86" i="18" s="1"/>
  <c r="A85" i="18"/>
  <c r="B85" i="18" s="1"/>
  <c r="A84" i="18"/>
  <c r="B84" i="18" s="1"/>
  <c r="A83" i="18"/>
  <c r="B83" i="18" s="1"/>
  <c r="A82" i="18"/>
  <c r="B82" i="18" s="1"/>
  <c r="B81" i="18"/>
  <c r="A81" i="18"/>
  <c r="C81" i="18" s="1"/>
  <c r="A80" i="18"/>
  <c r="C80" i="18" s="1"/>
  <c r="A79" i="18"/>
  <c r="C79" i="18" s="1"/>
  <c r="A78" i="18"/>
  <c r="C78" i="18" s="1"/>
  <c r="A77" i="18"/>
  <c r="B77" i="18" s="1"/>
  <c r="A76" i="18"/>
  <c r="B76" i="18" s="1"/>
  <c r="A75" i="18"/>
  <c r="B75" i="18" s="1"/>
  <c r="A74" i="18"/>
  <c r="B74" i="18" s="1"/>
  <c r="A73" i="18"/>
  <c r="C73" i="18" s="1"/>
  <c r="A72" i="18"/>
  <c r="C72" i="18" s="1"/>
  <c r="A71" i="18"/>
  <c r="C71" i="18" s="1"/>
  <c r="A70" i="18"/>
  <c r="B70" i="18" s="1"/>
  <c r="A69" i="18"/>
  <c r="C69" i="18" s="1"/>
  <c r="A68" i="18"/>
  <c r="B68" i="18" s="1"/>
  <c r="A67" i="18"/>
  <c r="C67" i="18" s="1"/>
  <c r="A66" i="18"/>
  <c r="C66" i="18" s="1"/>
  <c r="B65" i="18"/>
  <c r="A65" i="18"/>
  <c r="C65" i="18" s="1"/>
  <c r="A64" i="18"/>
  <c r="C64" i="18" s="1"/>
  <c r="A63" i="18"/>
  <c r="C63" i="18" s="1"/>
  <c r="A62" i="18"/>
  <c r="B62" i="18" s="1"/>
  <c r="A61" i="18"/>
  <c r="C61" i="18" s="1"/>
  <c r="A60" i="18"/>
  <c r="C60" i="18" s="1"/>
  <c r="A59" i="18"/>
  <c r="C59" i="18" s="1"/>
  <c r="C58" i="18"/>
  <c r="A58" i="18"/>
  <c r="B58" i="18" s="1"/>
  <c r="A57" i="18"/>
  <c r="B57" i="18" s="1"/>
  <c r="A56" i="18"/>
  <c r="C56" i="18" s="1"/>
  <c r="A55" i="18"/>
  <c r="C55" i="18" s="1"/>
  <c r="A54" i="18"/>
  <c r="B54" i="18" s="1"/>
  <c r="A53" i="18"/>
  <c r="C53" i="18" s="1"/>
  <c r="A52" i="18"/>
  <c r="B52" i="18" s="1"/>
  <c r="A51" i="18"/>
  <c r="C51" i="18" s="1"/>
  <c r="A50" i="18"/>
  <c r="C50" i="18" s="1"/>
  <c r="A49" i="18"/>
  <c r="B49" i="18" s="1"/>
  <c r="A48" i="18"/>
  <c r="B48" i="18" s="1"/>
  <c r="A47" i="18"/>
  <c r="C47" i="18" s="1"/>
  <c r="C46" i="18"/>
  <c r="A46" i="18"/>
  <c r="B46" i="18" s="1"/>
  <c r="A45" i="18"/>
  <c r="C45" i="18" s="1"/>
  <c r="A44" i="18"/>
  <c r="B44" i="18" s="1"/>
  <c r="A43" i="18"/>
  <c r="C43" i="18" s="1"/>
  <c r="A42" i="18"/>
  <c r="C42" i="18" s="1"/>
  <c r="A41" i="18"/>
  <c r="C41" i="18" s="1"/>
  <c r="B40" i="18"/>
  <c r="A40" i="18"/>
  <c r="C40" i="18" s="1"/>
  <c r="A39" i="18"/>
  <c r="C39" i="18" s="1"/>
  <c r="A38" i="18"/>
  <c r="B38" i="18" s="1"/>
  <c r="A37" i="18"/>
  <c r="C37" i="18" s="1"/>
  <c r="A36" i="18"/>
  <c r="B36" i="18" s="1"/>
  <c r="A35" i="18"/>
  <c r="C35" i="18" s="1"/>
  <c r="B34" i="18"/>
  <c r="A34" i="18"/>
  <c r="C34" i="18" s="1"/>
  <c r="B33" i="18"/>
  <c r="A33" i="18"/>
  <c r="C33" i="18" s="1"/>
  <c r="A32" i="18"/>
  <c r="C32" i="18" s="1"/>
  <c r="A31" i="18"/>
  <c r="C31" i="18" s="1"/>
  <c r="A30" i="18"/>
  <c r="B30" i="18" s="1"/>
  <c r="A29" i="18"/>
  <c r="C29" i="18" s="1"/>
  <c r="A28" i="18"/>
  <c r="B28" i="18" s="1"/>
  <c r="A27" i="18"/>
  <c r="C27" i="18" s="1"/>
  <c r="A26" i="18"/>
  <c r="C26" i="18" s="1"/>
  <c r="A25" i="18"/>
  <c r="C25" i="18" s="1"/>
  <c r="A24" i="18"/>
  <c r="C24" i="18" s="1"/>
  <c r="A23" i="18"/>
  <c r="C23" i="18" s="1"/>
  <c r="A22" i="18"/>
  <c r="B22" i="18" s="1"/>
  <c r="A21" i="18"/>
  <c r="C21" i="18" s="1"/>
  <c r="A20" i="18"/>
  <c r="B20" i="18" s="1"/>
  <c r="A19" i="18"/>
  <c r="C19" i="18" s="1"/>
  <c r="A18" i="18"/>
  <c r="C18" i="18" s="1"/>
  <c r="A17" i="18"/>
  <c r="C17" i="18" s="1"/>
  <c r="A16" i="18"/>
  <c r="C16" i="18" s="1"/>
  <c r="A15" i="18"/>
  <c r="C15" i="18" s="1"/>
  <c r="A14" i="18"/>
  <c r="B14" i="18" s="1"/>
  <c r="A13" i="18"/>
  <c r="C13" i="18" s="1"/>
  <c r="A12" i="18"/>
  <c r="B12" i="18" s="1"/>
  <c r="A11" i="18"/>
  <c r="C11" i="18" s="1"/>
  <c r="A10" i="18"/>
  <c r="C10" i="18" s="1"/>
  <c r="A9" i="18"/>
  <c r="B9" i="18" s="1"/>
  <c r="A8" i="18"/>
  <c r="C8" i="18" s="1"/>
  <c r="A7" i="18"/>
  <c r="C7" i="18" s="1"/>
  <c r="A6" i="18"/>
  <c r="B6" i="18" s="1"/>
  <c r="A5" i="18"/>
  <c r="C5" i="18" s="1"/>
  <c r="C322" i="18" l="1"/>
  <c r="C422" i="18"/>
  <c r="C478" i="18"/>
  <c r="B499" i="18"/>
  <c r="B511" i="18"/>
  <c r="B550" i="18"/>
  <c r="B575" i="18"/>
  <c r="C594" i="18"/>
  <c r="C632" i="18"/>
  <c r="C749" i="18"/>
  <c r="C767" i="18"/>
  <c r="B794" i="18"/>
  <c r="C830" i="18"/>
  <c r="C846" i="18"/>
  <c r="B858" i="18"/>
  <c r="C865" i="18"/>
  <c r="B871" i="18"/>
  <c r="C878" i="18"/>
  <c r="C905" i="18"/>
  <c r="C919" i="18"/>
  <c r="C913" i="18"/>
  <c r="C926" i="18"/>
  <c r="B110" i="18"/>
  <c r="C186" i="18"/>
  <c r="B360" i="18"/>
  <c r="B366" i="18"/>
  <c r="B405" i="18"/>
  <c r="C459" i="18"/>
  <c r="C526" i="18"/>
  <c r="B563" i="18"/>
  <c r="C640" i="18"/>
  <c r="B673" i="18"/>
  <c r="B711" i="18"/>
  <c r="C777" i="18"/>
  <c r="B801" i="18"/>
  <c r="C807" i="18"/>
  <c r="C921" i="18"/>
  <c r="C118" i="18"/>
  <c r="B149" i="18"/>
  <c r="C154" i="18"/>
  <c r="C181" i="18"/>
  <c r="C406" i="18"/>
  <c r="C482" i="18"/>
  <c r="B502" i="18"/>
  <c r="B515" i="18"/>
  <c r="B559" i="18"/>
  <c r="B598" i="18"/>
  <c r="B699" i="18"/>
  <c r="B747" i="18"/>
  <c r="B778" i="18"/>
  <c r="C798" i="18"/>
  <c r="C814" i="18"/>
  <c r="C889" i="18"/>
  <c r="C870" i="18"/>
  <c r="C945" i="18"/>
  <c r="C344" i="18"/>
  <c r="C367" i="18"/>
  <c r="B373" i="18"/>
  <c r="B379" i="18"/>
  <c r="C390" i="18"/>
  <c r="B399" i="18"/>
  <c r="C403" i="18"/>
  <c r="C408" i="18"/>
  <c r="B430" i="18"/>
  <c r="C435" i="18"/>
  <c r="C446" i="18"/>
  <c r="C458" i="18"/>
  <c r="C463" i="18"/>
  <c r="C474" i="18"/>
  <c r="B479" i="18"/>
  <c r="C490" i="18"/>
  <c r="C495" i="18"/>
  <c r="C500" i="18"/>
  <c r="B510" i="18"/>
  <c r="C534" i="18"/>
  <c r="C551" i="18"/>
  <c r="C571" i="18"/>
  <c r="B591" i="18"/>
  <c r="C621" i="18"/>
  <c r="C625" i="18"/>
  <c r="C641" i="18"/>
  <c r="C653" i="18"/>
  <c r="C663" i="18"/>
  <c r="B712" i="18"/>
  <c r="C725" i="18"/>
  <c r="C736" i="18"/>
  <c r="B769" i="18"/>
  <c r="C785" i="18"/>
  <c r="C791" i="18"/>
  <c r="C806" i="18"/>
  <c r="C815" i="18"/>
  <c r="C838" i="18"/>
  <c r="C847" i="18"/>
  <c r="B857" i="18"/>
  <c r="C873" i="18"/>
  <c r="B879" i="18"/>
  <c r="B929" i="18"/>
  <c r="B935" i="18"/>
  <c r="B17" i="18"/>
  <c r="B160" i="18"/>
  <c r="B393" i="18"/>
  <c r="B24" i="18"/>
  <c r="C229" i="18"/>
  <c r="C294" i="18"/>
  <c r="C350" i="18"/>
  <c r="B362" i="18"/>
  <c r="C423" i="18"/>
  <c r="C483" i="18"/>
  <c r="C630" i="18"/>
  <c r="C679" i="18"/>
  <c r="C759" i="18"/>
  <c r="C897" i="18"/>
  <c r="B127" i="18"/>
  <c r="B134" i="18"/>
  <c r="C189" i="18"/>
  <c r="C253" i="18"/>
  <c r="B270" i="18"/>
  <c r="B281" i="18"/>
  <c r="C48" i="18"/>
  <c r="B87" i="18"/>
  <c r="C98" i="18"/>
  <c r="C103" i="18"/>
  <c r="B141" i="18"/>
  <c r="C146" i="18"/>
  <c r="B157" i="18"/>
  <c r="C162" i="18"/>
  <c r="B173" i="18"/>
  <c r="C197" i="18"/>
  <c r="B230" i="18"/>
  <c r="C234" i="18"/>
  <c r="B295" i="18"/>
  <c r="B301" i="18"/>
  <c r="B313" i="18"/>
  <c r="B505" i="18"/>
  <c r="C514" i="18"/>
  <c r="B518" i="18"/>
  <c r="B567" i="18"/>
  <c r="B577" i="18"/>
  <c r="C582" i="18"/>
  <c r="C587" i="18"/>
  <c r="C606" i="18"/>
  <c r="B617" i="18"/>
  <c r="C648" i="18"/>
  <c r="C669" i="18"/>
  <c r="C686" i="18"/>
  <c r="C30" i="18"/>
  <c r="B79" i="18"/>
  <c r="C274" i="18"/>
  <c r="B383" i="18"/>
  <c r="B398" i="18"/>
  <c r="C412" i="18"/>
  <c r="B418" i="18"/>
  <c r="C468" i="18"/>
  <c r="B513" i="18"/>
  <c r="B517" i="18"/>
  <c r="C555" i="18"/>
  <c r="C586" i="18"/>
  <c r="C595" i="18"/>
  <c r="C178" i="18"/>
  <c r="B217" i="18"/>
  <c r="C277" i="18"/>
  <c r="C380" i="18"/>
  <c r="C420" i="18"/>
  <c r="C431" i="18"/>
  <c r="C447" i="18"/>
  <c r="B454" i="18"/>
  <c r="B470" i="18"/>
  <c r="C475" i="18"/>
  <c r="C654" i="18"/>
  <c r="C697" i="18"/>
  <c r="C720" i="18"/>
  <c r="C726" i="18"/>
  <c r="C744" i="18"/>
  <c r="C766" i="18"/>
  <c r="C782" i="18"/>
  <c r="B102" i="18"/>
  <c r="B144" i="18"/>
  <c r="B201" i="18"/>
  <c r="C119" i="18"/>
  <c r="B72" i="18"/>
  <c r="B257" i="18"/>
  <c r="B233" i="18"/>
  <c r="C318" i="18"/>
  <c r="B8" i="18"/>
  <c r="B231" i="18"/>
  <c r="C250" i="18"/>
  <c r="C302" i="18"/>
  <c r="C309" i="18"/>
  <c r="B411" i="18"/>
  <c r="C427" i="18"/>
  <c r="C455" i="18"/>
  <c r="C471" i="18"/>
  <c r="C487" i="18"/>
  <c r="C507" i="18"/>
  <c r="B537" i="18"/>
  <c r="B542" i="18"/>
  <c r="B579" i="18"/>
  <c r="B608" i="18"/>
  <c r="B624" i="18"/>
  <c r="B688" i="18"/>
  <c r="B704" i="18"/>
  <c r="B751" i="18"/>
  <c r="C783" i="18"/>
  <c r="C937" i="18"/>
  <c r="B404" i="18"/>
  <c r="C404" i="18"/>
  <c r="C574" i="18"/>
  <c r="B574" i="18"/>
  <c r="C872" i="18"/>
  <c r="B872" i="18"/>
  <c r="B101" i="18"/>
  <c r="B112" i="18"/>
  <c r="C469" i="18"/>
  <c r="B469" i="18"/>
  <c r="C546" i="18"/>
  <c r="B804" i="18"/>
  <c r="C804" i="18"/>
  <c r="B32" i="18"/>
  <c r="C117" i="18"/>
  <c r="B161" i="18"/>
  <c r="C343" i="18"/>
  <c r="B343" i="18"/>
  <c r="B523" i="18"/>
  <c r="B672" i="18"/>
  <c r="B696" i="18"/>
  <c r="B770" i="18"/>
  <c r="C848" i="18"/>
  <c r="B848" i="18"/>
  <c r="B863" i="18"/>
  <c r="C887" i="18"/>
  <c r="C9" i="18"/>
  <c r="C14" i="18"/>
  <c r="B18" i="18"/>
  <c r="B41" i="18"/>
  <c r="C49" i="18"/>
  <c r="C54" i="18"/>
  <c r="B66" i="18"/>
  <c r="C77" i="18"/>
  <c r="C85" i="18"/>
  <c r="B113" i="18"/>
  <c r="C125" i="18"/>
  <c r="B129" i="18"/>
  <c r="C138" i="18"/>
  <c r="B142" i="18"/>
  <c r="B150" i="18"/>
  <c r="B158" i="18"/>
  <c r="B166" i="18"/>
  <c r="B174" i="18"/>
  <c r="B182" i="18"/>
  <c r="B190" i="18"/>
  <c r="C194" i="18"/>
  <c r="C198" i="18"/>
  <c r="B215" i="18"/>
  <c r="B221" i="18"/>
  <c r="C226" i="18"/>
  <c r="C254" i="18"/>
  <c r="C285" i="18"/>
  <c r="B285" i="18"/>
  <c r="C290" i="18"/>
  <c r="B305" i="18"/>
  <c r="B336" i="18"/>
  <c r="B349" i="18"/>
  <c r="C363" i="18"/>
  <c r="C388" i="18"/>
  <c r="B392" i="18"/>
  <c r="C392" i="18"/>
  <c r="B415" i="18"/>
  <c r="B424" i="18"/>
  <c r="C424" i="18"/>
  <c r="B434" i="18"/>
  <c r="C484" i="18"/>
  <c r="B519" i="18"/>
  <c r="B561" i="18"/>
  <c r="C566" i="18"/>
  <c r="B566" i="18"/>
  <c r="C585" i="18"/>
  <c r="B585" i="18"/>
  <c r="C647" i="18"/>
  <c r="B667" i="18"/>
  <c r="C717" i="18"/>
  <c r="C733" i="18"/>
  <c r="B753" i="18"/>
  <c r="C800" i="18"/>
  <c r="B800" i="18"/>
  <c r="B818" i="18"/>
  <c r="B882" i="18"/>
  <c r="B282" i="18"/>
  <c r="C282" i="18"/>
  <c r="B347" i="18"/>
  <c r="C347" i="18"/>
  <c r="B852" i="18"/>
  <c r="C852" i="18"/>
  <c r="B26" i="18"/>
  <c r="C70" i="18"/>
  <c r="B133" i="18"/>
  <c r="C210" i="18"/>
  <c r="C314" i="18"/>
  <c r="C330" i="18"/>
  <c r="B677" i="18"/>
  <c r="C677" i="18"/>
  <c r="B842" i="18"/>
  <c r="B145" i="18"/>
  <c r="B169" i="18"/>
  <c r="C258" i="18"/>
  <c r="C278" i="18"/>
  <c r="B419" i="18"/>
  <c r="C448" i="18"/>
  <c r="C547" i="18"/>
  <c r="B547" i="18"/>
  <c r="B565" i="18"/>
  <c r="C265" i="18"/>
  <c r="B265" i="18"/>
  <c r="B306" i="18"/>
  <c r="C306" i="18"/>
  <c r="C337" i="18"/>
  <c r="B337" i="18"/>
  <c r="C368" i="18"/>
  <c r="B368" i="18"/>
  <c r="C389" i="18"/>
  <c r="B389" i="18"/>
  <c r="B562" i="18"/>
  <c r="C562" i="18"/>
  <c r="C609" i="18"/>
  <c r="B609" i="18"/>
  <c r="B734" i="18"/>
  <c r="C734" i="18"/>
  <c r="B796" i="18"/>
  <c r="C796" i="18"/>
  <c r="C840" i="18"/>
  <c r="B840" i="18"/>
  <c r="B911" i="18"/>
  <c r="B927" i="18"/>
  <c r="B943" i="18"/>
  <c r="C453" i="18"/>
  <c r="B453" i="18"/>
  <c r="C493" i="18"/>
  <c r="B493" i="18"/>
  <c r="B193" i="18"/>
  <c r="B206" i="18"/>
  <c r="C225" i="18"/>
  <c r="B225" i="18"/>
  <c r="C438" i="18"/>
  <c r="B438" i="18"/>
  <c r="B570" i="18"/>
  <c r="C570" i="18"/>
  <c r="C589" i="18"/>
  <c r="B589" i="18"/>
  <c r="C622" i="18"/>
  <c r="B721" i="18"/>
  <c r="C57" i="18"/>
  <c r="C62" i="18"/>
  <c r="B153" i="18"/>
  <c r="C202" i="18"/>
  <c r="B249" i="18"/>
  <c r="B310" i="18"/>
  <c r="C6" i="18"/>
  <c r="B10" i="18"/>
  <c r="C38" i="18"/>
  <c r="B50" i="18"/>
  <c r="B64" i="18"/>
  <c r="B78" i="18"/>
  <c r="B86" i="18"/>
  <c r="C90" i="18"/>
  <c r="C114" i="18"/>
  <c r="C122" i="18"/>
  <c r="B126" i="18"/>
  <c r="C130" i="18"/>
  <c r="C139" i="18"/>
  <c r="B199" i="18"/>
  <c r="B213" i="18"/>
  <c r="B222" i="18"/>
  <c r="B241" i="18"/>
  <c r="B246" i="18"/>
  <c r="B286" i="18"/>
  <c r="B312" i="18"/>
  <c r="B317" i="18"/>
  <c r="B333" i="18"/>
  <c r="C374" i="18"/>
  <c r="B374" i="18"/>
  <c r="C421" i="18"/>
  <c r="B421" i="18"/>
  <c r="B425" i="18"/>
  <c r="C440" i="18"/>
  <c r="C476" i="18"/>
  <c r="C509" i="18"/>
  <c r="B509" i="18"/>
  <c r="C543" i="18"/>
  <c r="B543" i="18"/>
  <c r="B558" i="18"/>
  <c r="B581" i="18"/>
  <c r="B605" i="18"/>
  <c r="C605" i="18"/>
  <c r="C638" i="18"/>
  <c r="C664" i="18"/>
  <c r="B664" i="18"/>
  <c r="B683" i="18"/>
  <c r="B729" i="18"/>
  <c r="B750" i="18"/>
  <c r="C750" i="18"/>
  <c r="B764" i="18"/>
  <c r="C768" i="18"/>
  <c r="B768" i="18"/>
  <c r="B792" i="18"/>
  <c r="B810" i="18"/>
  <c r="B836" i="18"/>
  <c r="C836" i="18"/>
  <c r="B874" i="18"/>
  <c r="B895" i="18"/>
  <c r="B922" i="18"/>
  <c r="C944" i="18"/>
  <c r="B944" i="18"/>
  <c r="C656" i="18"/>
  <c r="B656" i="18"/>
  <c r="B109" i="18"/>
  <c r="C238" i="18"/>
  <c r="C376" i="18"/>
  <c r="B428" i="18"/>
  <c r="C428" i="18"/>
  <c r="C488" i="18"/>
  <c r="C705" i="18"/>
  <c r="B705" i="18"/>
  <c r="C93" i="18"/>
  <c r="B177" i="18"/>
  <c r="B185" i="18"/>
  <c r="C239" i="18"/>
  <c r="B239" i="18"/>
  <c r="B353" i="18"/>
  <c r="C377" i="18"/>
  <c r="B377" i="18"/>
  <c r="B396" i="18"/>
  <c r="C396" i="18"/>
  <c r="B701" i="18"/>
  <c r="C701" i="18"/>
  <c r="B737" i="18"/>
  <c r="C823" i="18"/>
  <c r="B16" i="18"/>
  <c r="B25" i="18"/>
  <c r="B42" i="18"/>
  <c r="B56" i="18"/>
  <c r="C82" i="18"/>
  <c r="C99" i="18"/>
  <c r="C107" i="18"/>
  <c r="B143" i="18"/>
  <c r="B151" i="18"/>
  <c r="B159" i="18"/>
  <c r="B167" i="18"/>
  <c r="B175" i="18"/>
  <c r="B183" i="18"/>
  <c r="B191" i="18"/>
  <c r="B205" i="18"/>
  <c r="B237" i="18"/>
  <c r="B242" i="18"/>
  <c r="C242" i="18"/>
  <c r="B261" i="18"/>
  <c r="C266" i="18"/>
  <c r="C297" i="18"/>
  <c r="B297" i="18"/>
  <c r="C356" i="18"/>
  <c r="B369" i="18"/>
  <c r="B385" i="18"/>
  <c r="B407" i="18"/>
  <c r="B436" i="18"/>
  <c r="C436" i="18"/>
  <c r="C441" i="18"/>
  <c r="B441" i="18"/>
  <c r="C451" i="18"/>
  <c r="C456" i="18"/>
  <c r="C496" i="18"/>
  <c r="C504" i="18"/>
  <c r="B539" i="18"/>
  <c r="C709" i="18"/>
  <c r="C713" i="18"/>
  <c r="B713" i="18"/>
  <c r="B745" i="18"/>
  <c r="C788" i="18"/>
  <c r="C816" i="18"/>
  <c r="B816" i="18"/>
  <c r="C880" i="18"/>
  <c r="B880" i="18"/>
  <c r="B906" i="18"/>
  <c r="B938" i="18"/>
  <c r="C761" i="18"/>
  <c r="B761" i="18"/>
  <c r="C808" i="18"/>
  <c r="B808" i="18"/>
  <c r="C22" i="18"/>
  <c r="C409" i="18"/>
  <c r="B409" i="18"/>
  <c r="B631" i="18"/>
  <c r="C651" i="18"/>
  <c r="B651" i="18"/>
  <c r="C742" i="18"/>
  <c r="C757" i="18"/>
  <c r="B776" i="18"/>
  <c r="B120" i="18"/>
  <c r="B273" i="18"/>
  <c r="B372" i="18"/>
  <c r="C372" i="18"/>
  <c r="B527" i="18"/>
  <c r="C614" i="18"/>
  <c r="B111" i="18"/>
  <c r="C123" i="18"/>
  <c r="B135" i="18"/>
  <c r="B209" i="18"/>
  <c r="B218" i="18"/>
  <c r="C218" i="18"/>
  <c r="B223" i="18"/>
  <c r="B247" i="18"/>
  <c r="C271" i="18"/>
  <c r="B271" i="18"/>
  <c r="B287" i="18"/>
  <c r="B293" i="18"/>
  <c r="B340" i="18"/>
  <c r="C340" i="18"/>
  <c r="B346" i="18"/>
  <c r="B351" i="18"/>
  <c r="C370" i="18"/>
  <c r="B370" i="18"/>
  <c r="C473" i="18"/>
  <c r="B473" i="18"/>
  <c r="B501" i="18"/>
  <c r="B535" i="18"/>
  <c r="B573" i="18"/>
  <c r="C597" i="18"/>
  <c r="B597" i="18"/>
  <c r="B680" i="18"/>
  <c r="B710" i="18"/>
  <c r="C710" i="18"/>
  <c r="B784" i="18"/>
  <c r="C832" i="18"/>
  <c r="B832" i="18"/>
  <c r="C856" i="18"/>
  <c r="B856" i="18"/>
  <c r="B890" i="18"/>
  <c r="C522" i="18"/>
  <c r="C530" i="18"/>
  <c r="B545" i="18"/>
  <c r="B549" i="18"/>
  <c r="C637" i="18"/>
  <c r="C646" i="18"/>
  <c r="C670" i="18"/>
  <c r="B715" i="18"/>
  <c r="C774" i="18"/>
  <c r="C822" i="18"/>
  <c r="C862" i="18"/>
  <c r="C886" i="18"/>
  <c r="C894" i="18"/>
  <c r="C902" i="18"/>
  <c r="C910" i="18"/>
  <c r="C918" i="18"/>
  <c r="C934" i="18"/>
  <c r="C942" i="18"/>
  <c r="B263" i="18"/>
  <c r="B289" i="18"/>
  <c r="B329" i="18"/>
  <c r="B361" i="18"/>
  <c r="C364" i="18"/>
  <c r="B382" i="18"/>
  <c r="B386" i="18"/>
  <c r="B401" i="18"/>
  <c r="B449" i="18"/>
  <c r="B457" i="18"/>
  <c r="B461" i="18"/>
  <c r="C466" i="18"/>
  <c r="B477" i="18"/>
  <c r="B485" i="18"/>
  <c r="C578" i="18"/>
  <c r="B615" i="18"/>
  <c r="B635" i="18"/>
  <c r="C661" i="18"/>
  <c r="C685" i="18"/>
  <c r="C694" i="18"/>
  <c r="C718" i="18"/>
  <c r="B727" i="18"/>
  <c r="B743" i="18"/>
  <c r="C758" i="18"/>
  <c r="C765" i="18"/>
  <c r="B772" i="18"/>
  <c r="C820" i="18"/>
  <c r="B824" i="18"/>
  <c r="C860" i="18"/>
  <c r="B864" i="18"/>
  <c r="C884" i="18"/>
  <c r="B888" i="18"/>
  <c r="B896" i="18"/>
  <c r="C900" i="18"/>
  <c r="B904" i="18"/>
  <c r="B912" i="18"/>
  <c r="C916" i="18"/>
  <c r="B920" i="18"/>
  <c r="B936" i="18"/>
  <c r="C924" i="18"/>
  <c r="B188" i="18"/>
  <c r="C188" i="18"/>
  <c r="B236" i="18"/>
  <c r="C236" i="18"/>
  <c r="B260" i="18"/>
  <c r="C260" i="18"/>
  <c r="B284" i="18"/>
  <c r="C284" i="18"/>
  <c r="C381" i="18"/>
  <c r="B381" i="18"/>
  <c r="B400" i="18"/>
  <c r="C400" i="18"/>
  <c r="C426" i="18"/>
  <c r="B426" i="18"/>
  <c r="C607" i="18"/>
  <c r="B607" i="18"/>
  <c r="B60" i="18"/>
  <c r="B108" i="18"/>
  <c r="C108" i="18"/>
  <c r="B304" i="18"/>
  <c r="C357" i="18"/>
  <c r="B357" i="18"/>
  <c r="B472" i="18"/>
  <c r="C472" i="18"/>
  <c r="C572" i="18"/>
  <c r="B572" i="18"/>
  <c r="B7" i="18"/>
  <c r="C12" i="18"/>
  <c r="B15" i="18"/>
  <c r="C20" i="18"/>
  <c r="B23" i="18"/>
  <c r="C28" i="18"/>
  <c r="B31" i="18"/>
  <c r="C36" i="18"/>
  <c r="B39" i="18"/>
  <c r="C44" i="18"/>
  <c r="B47" i="18"/>
  <c r="C52" i="18"/>
  <c r="B55" i="18"/>
  <c r="B63" i="18"/>
  <c r="C68" i="18"/>
  <c r="B71" i="18"/>
  <c r="C74" i="18"/>
  <c r="C91" i="18"/>
  <c r="B104" i="18"/>
  <c r="B116" i="18"/>
  <c r="C116" i="18"/>
  <c r="B184" i="18"/>
  <c r="B192" i="18"/>
  <c r="B200" i="18"/>
  <c r="B208" i="18"/>
  <c r="B216" i="18"/>
  <c r="B224" i="18"/>
  <c r="B232" i="18"/>
  <c r="B240" i="18"/>
  <c r="B248" i="18"/>
  <c r="B256" i="18"/>
  <c r="B264" i="18"/>
  <c r="B272" i="18"/>
  <c r="B280" i="18"/>
  <c r="B288" i="18"/>
  <c r="B296" i="18"/>
  <c r="B339" i="18"/>
  <c r="B348" i="18"/>
  <c r="C348" i="18"/>
  <c r="C378" i="18"/>
  <c r="B378" i="18"/>
  <c r="C397" i="18"/>
  <c r="B397" i="18"/>
  <c r="B416" i="18"/>
  <c r="C416" i="18"/>
  <c r="B442" i="18"/>
  <c r="C442" i="18"/>
  <c r="B465" i="18"/>
  <c r="C492" i="18"/>
  <c r="C568" i="18"/>
  <c r="B568" i="18"/>
  <c r="C576" i="18"/>
  <c r="B576" i="18"/>
  <c r="C580" i="18"/>
  <c r="B580" i="18"/>
  <c r="B196" i="18"/>
  <c r="C196" i="18"/>
  <c r="B228" i="18"/>
  <c r="C228" i="18"/>
  <c r="B268" i="18"/>
  <c r="C268" i="18"/>
  <c r="B137" i="18"/>
  <c r="C331" i="18"/>
  <c r="B331" i="18"/>
  <c r="B5" i="18"/>
  <c r="B13" i="18"/>
  <c r="B21" i="18"/>
  <c r="B29" i="18"/>
  <c r="B37" i="18"/>
  <c r="B45" i="18"/>
  <c r="B53" i="18"/>
  <c r="B61" i="18"/>
  <c r="B69" i="18"/>
  <c r="C75" i="18"/>
  <c r="B88" i="18"/>
  <c r="C92" i="18"/>
  <c r="B105" i="18"/>
  <c r="B124" i="18"/>
  <c r="C124" i="18"/>
  <c r="C131" i="18"/>
  <c r="C323" i="18"/>
  <c r="B323" i="18"/>
  <c r="C394" i="18"/>
  <c r="B394" i="18"/>
  <c r="C413" i="18"/>
  <c r="B413" i="18"/>
  <c r="B432" i="18"/>
  <c r="C432" i="18"/>
  <c r="B462" i="18"/>
  <c r="C512" i="18"/>
  <c r="C516" i="18"/>
  <c r="B516" i="18"/>
  <c r="B844" i="18"/>
  <c r="C844" i="18"/>
  <c r="C930" i="18"/>
  <c r="B930" i="18"/>
  <c r="B204" i="18"/>
  <c r="C204" i="18"/>
  <c r="B244" i="18"/>
  <c r="C244" i="18"/>
  <c r="C84" i="18"/>
  <c r="C115" i="18"/>
  <c r="C569" i="18"/>
  <c r="B569" i="18"/>
  <c r="B132" i="18"/>
  <c r="C132" i="18"/>
  <c r="C147" i="18"/>
  <c r="B147" i="18"/>
  <c r="C155" i="18"/>
  <c r="B155" i="18"/>
  <c r="C163" i="18"/>
  <c r="B163" i="18"/>
  <c r="C171" i="18"/>
  <c r="B171" i="18"/>
  <c r="C315" i="18"/>
  <c r="B315" i="18"/>
  <c r="C345" i="18"/>
  <c r="B345" i="18"/>
  <c r="C354" i="18"/>
  <c r="B354" i="18"/>
  <c r="C486" i="18"/>
  <c r="B486" i="18"/>
  <c r="C618" i="18"/>
  <c r="B618" i="18"/>
  <c r="C626" i="18"/>
  <c r="B626" i="18"/>
  <c r="C634" i="18"/>
  <c r="B634" i="18"/>
  <c r="C642" i="18"/>
  <c r="B642" i="18"/>
  <c r="C650" i="18"/>
  <c r="B650" i="18"/>
  <c r="C658" i="18"/>
  <c r="B658" i="18"/>
  <c r="C666" i="18"/>
  <c r="B666" i="18"/>
  <c r="C674" i="18"/>
  <c r="B674" i="18"/>
  <c r="C682" i="18"/>
  <c r="B682" i="18"/>
  <c r="C690" i="18"/>
  <c r="B690" i="18"/>
  <c r="C698" i="18"/>
  <c r="B698" i="18"/>
  <c r="C706" i="18"/>
  <c r="B706" i="18"/>
  <c r="C714" i="18"/>
  <c r="B714" i="18"/>
  <c r="C722" i="18"/>
  <c r="B722" i="18"/>
  <c r="C730" i="18"/>
  <c r="B730" i="18"/>
  <c r="C738" i="18"/>
  <c r="B738" i="18"/>
  <c r="C746" i="18"/>
  <c r="B746" i="18"/>
  <c r="C754" i="18"/>
  <c r="B754" i="18"/>
  <c r="C797" i="18"/>
  <c r="B797" i="18"/>
  <c r="C829" i="18"/>
  <c r="B829" i="18"/>
  <c r="C853" i="18"/>
  <c r="B853" i="18"/>
  <c r="C868" i="18"/>
  <c r="B876" i="18"/>
  <c r="C876" i="18"/>
  <c r="B212" i="18"/>
  <c r="C212" i="18"/>
  <c r="B276" i="18"/>
  <c r="C276" i="18"/>
  <c r="B300" i="18"/>
  <c r="C300" i="18"/>
  <c r="B80" i="18"/>
  <c r="B11" i="18"/>
  <c r="B19" i="18"/>
  <c r="B27" i="18"/>
  <c r="B43" i="18"/>
  <c r="B51" i="18"/>
  <c r="B59" i="18"/>
  <c r="B67" i="18"/>
  <c r="C76" i="18"/>
  <c r="B140" i="18"/>
  <c r="C140" i="18"/>
  <c r="B156" i="18"/>
  <c r="C156" i="18"/>
  <c r="B164" i="18"/>
  <c r="C164" i="18"/>
  <c r="B172" i="18"/>
  <c r="C172" i="18"/>
  <c r="C179" i="18"/>
  <c r="B179" i="18"/>
  <c r="C307" i="18"/>
  <c r="B307" i="18"/>
  <c r="B328" i="18"/>
  <c r="B384" i="18"/>
  <c r="C384" i="18"/>
  <c r="C410" i="18"/>
  <c r="B410" i="18"/>
  <c r="C429" i="18"/>
  <c r="B429" i="18"/>
  <c r="B506" i="18"/>
  <c r="C506" i="18"/>
  <c r="B623" i="18"/>
  <c r="B639" i="18"/>
  <c r="B655" i="18"/>
  <c r="B671" i="18"/>
  <c r="B687" i="18"/>
  <c r="B703" i="18"/>
  <c r="B719" i="18"/>
  <c r="B773" i="18"/>
  <c r="C773" i="18"/>
  <c r="B220" i="18"/>
  <c r="C220" i="18"/>
  <c r="B252" i="18"/>
  <c r="C252" i="18"/>
  <c r="B292" i="18"/>
  <c r="C292" i="18"/>
  <c r="B97" i="18"/>
  <c r="B176" i="18"/>
  <c r="C489" i="18"/>
  <c r="B489" i="18"/>
  <c r="B35" i="18"/>
  <c r="B89" i="18"/>
  <c r="B128" i="18"/>
  <c r="B148" i="18"/>
  <c r="C148" i="18"/>
  <c r="B73" i="18"/>
  <c r="C83" i="18"/>
  <c r="B96" i="18"/>
  <c r="C100" i="18"/>
  <c r="B121" i="18"/>
  <c r="B136" i="18"/>
  <c r="B180" i="18"/>
  <c r="C180" i="18"/>
  <c r="C187" i="18"/>
  <c r="B187" i="18"/>
  <c r="C195" i="18"/>
  <c r="B195" i="18"/>
  <c r="C203" i="18"/>
  <c r="B203" i="18"/>
  <c r="C211" i="18"/>
  <c r="B211" i="18"/>
  <c r="C219" i="18"/>
  <c r="B219" i="18"/>
  <c r="C227" i="18"/>
  <c r="B227" i="18"/>
  <c r="C235" i="18"/>
  <c r="B235" i="18"/>
  <c r="C243" i="18"/>
  <c r="B243" i="18"/>
  <c r="C251" i="18"/>
  <c r="B251" i="18"/>
  <c r="C259" i="18"/>
  <c r="B259" i="18"/>
  <c r="C267" i="18"/>
  <c r="B267" i="18"/>
  <c r="C275" i="18"/>
  <c r="B275" i="18"/>
  <c r="C283" i="18"/>
  <c r="B283" i="18"/>
  <c r="C291" i="18"/>
  <c r="B291" i="18"/>
  <c r="C299" i="18"/>
  <c r="B299" i="18"/>
  <c r="B320" i="18"/>
  <c r="B342" i="18"/>
  <c r="B452" i="18"/>
  <c r="C452" i="18"/>
  <c r="C610" i="18"/>
  <c r="B610" i="18"/>
  <c r="B303" i="18"/>
  <c r="C308" i="18"/>
  <c r="B311" i="18"/>
  <c r="C316" i="18"/>
  <c r="B319" i="18"/>
  <c r="C324" i="18"/>
  <c r="B327" i="18"/>
  <c r="C332" i="18"/>
  <c r="B335" i="18"/>
  <c r="B338" i="18"/>
  <c r="B341" i="18"/>
  <c r="C352" i="18"/>
  <c r="C355" i="18"/>
  <c r="C358" i="18"/>
  <c r="C494" i="18"/>
  <c r="C552" i="18"/>
  <c r="B552" i="18"/>
  <c r="C556" i="18"/>
  <c r="B556" i="18"/>
  <c r="B601" i="18"/>
  <c r="C771" i="18"/>
  <c r="B771" i="18"/>
  <c r="B780" i="18"/>
  <c r="C780" i="18"/>
  <c r="B826" i="18"/>
  <c r="C866" i="18"/>
  <c r="B866" i="18"/>
  <c r="C444" i="18"/>
  <c r="C464" i="18"/>
  <c r="B481" i="18"/>
  <c r="C498" i="18"/>
  <c r="C508" i="18"/>
  <c r="C560" i="18"/>
  <c r="B560" i="18"/>
  <c r="C564" i="18"/>
  <c r="B564" i="18"/>
  <c r="C789" i="18"/>
  <c r="B789" i="18"/>
  <c r="B812" i="18"/>
  <c r="C812" i="18"/>
  <c r="C898" i="18"/>
  <c r="B898" i="18"/>
  <c r="C520" i="18"/>
  <c r="B520" i="18"/>
  <c r="C524" i="18"/>
  <c r="B524" i="18"/>
  <c r="C584" i="18"/>
  <c r="B584" i="18"/>
  <c r="C588" i="18"/>
  <c r="B588" i="18"/>
  <c r="C628" i="18"/>
  <c r="B628" i="18"/>
  <c r="C644" i="18"/>
  <c r="B644" i="18"/>
  <c r="C660" i="18"/>
  <c r="B660" i="18"/>
  <c r="C676" i="18"/>
  <c r="B676" i="18"/>
  <c r="C692" i="18"/>
  <c r="B692" i="18"/>
  <c r="C708" i="18"/>
  <c r="B708" i="18"/>
  <c r="C724" i="18"/>
  <c r="B724" i="18"/>
  <c r="C740" i="18"/>
  <c r="B740" i="18"/>
  <c r="C861" i="18"/>
  <c r="B861" i="18"/>
  <c r="B908" i="18"/>
  <c r="C908" i="18"/>
  <c r="C528" i="18"/>
  <c r="B528" i="18"/>
  <c r="C532" i="18"/>
  <c r="B532" i="18"/>
  <c r="C592" i="18"/>
  <c r="B592" i="18"/>
  <c r="C596" i="18"/>
  <c r="B596" i="18"/>
  <c r="C612" i="18"/>
  <c r="B612" i="18"/>
  <c r="C620" i="18"/>
  <c r="B620" i="18"/>
  <c r="C636" i="18"/>
  <c r="B636" i="18"/>
  <c r="C652" i="18"/>
  <c r="B652" i="18"/>
  <c r="C668" i="18"/>
  <c r="B668" i="18"/>
  <c r="C684" i="18"/>
  <c r="B684" i="18"/>
  <c r="C700" i="18"/>
  <c r="B700" i="18"/>
  <c r="C716" i="18"/>
  <c r="B716" i="18"/>
  <c r="C732" i="18"/>
  <c r="B732" i="18"/>
  <c r="C748" i="18"/>
  <c r="B748" i="18"/>
  <c r="C893" i="18"/>
  <c r="B893" i="18"/>
  <c r="C917" i="18"/>
  <c r="B917" i="18"/>
  <c r="C932" i="18"/>
  <c r="B940" i="18"/>
  <c r="C940" i="18"/>
  <c r="C536" i="18"/>
  <c r="B536" i="18"/>
  <c r="C540" i="18"/>
  <c r="B540" i="18"/>
  <c r="C600" i="18"/>
  <c r="B600" i="18"/>
  <c r="C604" i="18"/>
  <c r="B604" i="18"/>
  <c r="C775" i="18"/>
  <c r="B775" i="18"/>
  <c r="C802" i="18"/>
  <c r="B802" i="18"/>
  <c r="C925" i="18"/>
  <c r="B925" i="18"/>
  <c r="C450" i="18"/>
  <c r="C460" i="18"/>
  <c r="C480" i="18"/>
  <c r="B497" i="18"/>
  <c r="B529" i="18"/>
  <c r="C544" i="18"/>
  <c r="B544" i="18"/>
  <c r="C548" i="18"/>
  <c r="B548" i="18"/>
  <c r="B593" i="18"/>
  <c r="C613" i="18"/>
  <c r="C834" i="18"/>
  <c r="B834" i="18"/>
  <c r="C763" i="18"/>
  <c r="B763" i="18"/>
  <c r="C837" i="18"/>
  <c r="B837" i="18"/>
  <c r="C901" i="18"/>
  <c r="B901" i="18"/>
  <c r="C781" i="18"/>
  <c r="B781" i="18"/>
  <c r="C845" i="18"/>
  <c r="B845" i="18"/>
  <c r="C909" i="18"/>
  <c r="B909" i="18"/>
  <c r="C805" i="18"/>
  <c r="B805" i="18"/>
  <c r="C869" i="18"/>
  <c r="B869" i="18"/>
  <c r="C933" i="18"/>
  <c r="B933" i="18"/>
  <c r="C755" i="18"/>
  <c r="B755" i="18"/>
  <c r="C813" i="18"/>
  <c r="B813" i="18"/>
  <c r="C877" i="18"/>
  <c r="B877" i="18"/>
  <c r="C941" i="18"/>
  <c r="B941" i="18"/>
  <c r="B611" i="18"/>
  <c r="B627" i="18"/>
  <c r="B643" i="18"/>
  <c r="B659" i="18"/>
  <c r="B675" i="18"/>
  <c r="B691" i="18"/>
  <c r="B707" i="18"/>
  <c r="B723" i="18"/>
  <c r="B739" i="18"/>
  <c r="B786" i="18"/>
  <c r="C821" i="18"/>
  <c r="B821" i="18"/>
  <c r="C828" i="18"/>
  <c r="B850" i="18"/>
  <c r="C885" i="18"/>
  <c r="B885" i="18"/>
  <c r="C892" i="18"/>
  <c r="B914" i="18"/>
  <c r="B779" i="18"/>
  <c r="B787" i="18"/>
  <c r="B795" i="18"/>
  <c r="B803" i="18"/>
  <c r="B811" i="18"/>
  <c r="B819" i="18"/>
  <c r="B827" i="18"/>
  <c r="B835" i="18"/>
  <c r="B843" i="18"/>
  <c r="B851" i="18"/>
  <c r="B859" i="18"/>
  <c r="B867" i="18"/>
  <c r="B875" i="18"/>
  <c r="B883" i="18"/>
  <c r="B891" i="18"/>
  <c r="B899" i="18"/>
  <c r="B907" i="18"/>
  <c r="B915" i="18"/>
  <c r="B923" i="18"/>
  <c r="B931" i="18"/>
  <c r="B939" i="18"/>
  <c r="E5" i="18" l="1"/>
  <c r="P17" i="17" l="1"/>
  <c r="P16" i="17"/>
  <c r="P15" i="17"/>
  <c r="P14" i="17"/>
  <c r="P13" i="17"/>
  <c r="G17" i="17"/>
  <c r="G16" i="17"/>
  <c r="G15" i="17"/>
  <c r="G14" i="17"/>
  <c r="G13" i="17"/>
  <c r="G12" i="17"/>
  <c r="C11" i="16"/>
  <c r="D27" i="16"/>
  <c r="D26" i="16"/>
  <c r="C26" i="16"/>
  <c r="D25" i="16"/>
  <c r="C25" i="16"/>
  <c r="D24" i="16"/>
  <c r="C24" i="16"/>
  <c r="D23" i="16"/>
  <c r="L12" i="16"/>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L67" i="16" s="1"/>
  <c r="L68" i="16" s="1"/>
  <c r="L69" i="16" s="1"/>
  <c r="L70" i="16" s="1"/>
  <c r="L71" i="16" s="1"/>
  <c r="L72" i="16" s="1"/>
  <c r="L73" i="16" s="1"/>
  <c r="L74" i="16" s="1"/>
  <c r="L75" i="16" s="1"/>
  <c r="L76" i="16" s="1"/>
  <c r="L77" i="16" s="1"/>
  <c r="L78" i="16" s="1"/>
  <c r="L79" i="16" s="1"/>
  <c r="L80" i="16" s="1"/>
  <c r="L81" i="16" s="1"/>
  <c r="L82" i="16" s="1"/>
  <c r="L83" i="16" s="1"/>
  <c r="L84" i="16" s="1"/>
  <c r="L85" i="16" s="1"/>
  <c r="L86" i="16" s="1"/>
  <c r="L87" i="16" s="1"/>
  <c r="L88" i="16" s="1"/>
  <c r="L89" i="16" s="1"/>
  <c r="L90" i="16" s="1"/>
  <c r="L91" i="16" s="1"/>
  <c r="L92" i="16" s="1"/>
  <c r="L93" i="16" s="1"/>
  <c r="L94" i="16" s="1"/>
  <c r="L95" i="16" s="1"/>
  <c r="L96" i="16" s="1"/>
  <c r="L97" i="16" s="1"/>
  <c r="L98" i="16" s="1"/>
  <c r="L99" i="16" s="1"/>
  <c r="L100" i="16" s="1"/>
  <c r="L101" i="16" s="1"/>
  <c r="L102" i="16" s="1"/>
  <c r="L103" i="16" s="1"/>
  <c r="L104" i="16" s="1"/>
  <c r="L105" i="16" s="1"/>
  <c r="L106" i="16" s="1"/>
  <c r="L107" i="16" s="1"/>
  <c r="L108" i="16" s="1"/>
  <c r="L109" i="16" s="1"/>
  <c r="L110" i="16" s="1"/>
  <c r="L111" i="16" s="1"/>
  <c r="E23" i="16"/>
  <c r="F23" i="16" a="1"/>
  <c r="E24" i="16"/>
  <c r="H17" i="17" a="1"/>
  <c r="H15" i="17" a="1"/>
  <c r="H14" i="17" a="1"/>
  <c r="H13" i="17" a="1"/>
  <c r="H12" i="17" a="1"/>
  <c r="H16" i="17" a="1"/>
  <c r="P12" i="17" l="1"/>
  <c r="Q12" i="17"/>
  <c r="Q13" i="17"/>
  <c r="N13" i="17"/>
  <c r="O13" i="17" s="1"/>
  <c r="Q14" i="17"/>
  <c r="Q16" i="17"/>
  <c r="Q15" i="17"/>
  <c r="Q17" i="17"/>
  <c r="N17" i="17"/>
  <c r="O17" i="17" s="1"/>
  <c r="H17" i="17"/>
  <c r="H13" i="17"/>
  <c r="H14" i="17"/>
  <c r="H16" i="17"/>
  <c r="H15" i="17"/>
  <c r="H12" i="17"/>
  <c r="N15" i="17"/>
  <c r="O15" i="17" s="1"/>
  <c r="N16" i="17"/>
  <c r="O16" i="17" s="1"/>
  <c r="N14" i="17"/>
  <c r="O14" i="17" s="1"/>
  <c r="F23" i="16"/>
  <c r="G23" i="16"/>
  <c r="H23" i="16"/>
  <c r="I23" i="16"/>
  <c r="M17" i="16"/>
  <c r="M14" i="16"/>
  <c r="E25" i="16"/>
  <c r="F24" i="16" a="1"/>
  <c r="F25" i="16" a="1"/>
  <c r="M20" i="16" l="1"/>
  <c r="N12" i="17"/>
  <c r="O12" i="17" s="1"/>
  <c r="O18" i="17" s="1"/>
  <c r="I24" i="16"/>
  <c r="G24" i="16"/>
  <c r="H24" i="16"/>
  <c r="J24" i="16" s="1"/>
  <c r="F24" i="16"/>
  <c r="G25" i="16"/>
  <c r="I25" i="16"/>
  <c r="F25" i="16"/>
  <c r="H25" i="16"/>
  <c r="J25" i="16" s="1"/>
  <c r="J23" i="16"/>
  <c r="E26" i="16"/>
  <c r="F26" i="16" a="1"/>
  <c r="I26" i="16" l="1"/>
  <c r="F26" i="16"/>
  <c r="H26" i="16"/>
  <c r="J26" i="16" s="1"/>
  <c r="G26" i="16"/>
  <c r="M23" i="16"/>
  <c r="C16" i="14"/>
  <c r="C19" i="14" s="1"/>
  <c r="E27" i="16"/>
  <c r="N81" i="16"/>
  <c r="N90" i="16"/>
  <c r="N16" i="16"/>
  <c r="D33" i="16"/>
  <c r="N25" i="16"/>
  <c r="N52" i="16"/>
  <c r="N42" i="16"/>
  <c r="N73" i="16"/>
  <c r="N108" i="16"/>
  <c r="N97" i="16"/>
  <c r="N14" i="16"/>
  <c r="N19" i="16"/>
  <c r="N58" i="16"/>
  <c r="F27" i="16" a="1"/>
  <c r="N79" i="16"/>
  <c r="E32" i="16"/>
  <c r="N37" i="16"/>
  <c r="N31" i="16"/>
  <c r="N56" i="16"/>
  <c r="N68" i="16"/>
  <c r="N44" i="16"/>
  <c r="N21" i="16"/>
  <c r="N11" i="16"/>
  <c r="N102" i="16"/>
  <c r="D35" i="16"/>
  <c r="N105" i="16"/>
  <c r="D36" i="16"/>
  <c r="N26" i="16"/>
  <c r="N76" i="16"/>
  <c r="D34" i="16"/>
  <c r="N50" i="16"/>
  <c r="N43" i="16"/>
  <c r="N17" i="16"/>
  <c r="N87" i="16"/>
  <c r="N45" i="16"/>
  <c r="N33" i="16"/>
  <c r="N65" i="16"/>
  <c r="N100" i="16"/>
  <c r="N82" i="16"/>
  <c r="N89" i="16"/>
  <c r="N61" i="16"/>
  <c r="N86" i="16"/>
  <c r="N80" i="16"/>
  <c r="N67" i="16"/>
  <c r="N27" i="16"/>
  <c r="N99" i="16"/>
  <c r="N96" i="16"/>
  <c r="N83" i="16"/>
  <c r="N91" i="16"/>
  <c r="N109" i="16"/>
  <c r="N93" i="16"/>
  <c r="N64" i="16"/>
  <c r="N20" i="16"/>
  <c r="N39" i="16"/>
  <c r="N46" i="16"/>
  <c r="N77" i="16"/>
  <c r="N62" i="16"/>
  <c r="N104" i="16"/>
  <c r="N40" i="16"/>
  <c r="N24" i="16"/>
  <c r="N30" i="16"/>
  <c r="N92" i="16"/>
  <c r="N12" i="16"/>
  <c r="N74" i="16"/>
  <c r="N15" i="16"/>
  <c r="N69" i="16"/>
  <c r="N34" i="16"/>
  <c r="N88" i="16"/>
  <c r="E33" i="16"/>
  <c r="F33" i="16" s="1" a="1"/>
  <c r="N49" i="16"/>
  <c r="N60" i="16"/>
  <c r="N13" i="16"/>
  <c r="N110" i="16"/>
  <c r="N23" i="16"/>
  <c r="N47" i="16"/>
  <c r="N63" i="16"/>
  <c r="N66" i="16"/>
  <c r="N111" i="16"/>
  <c r="N53" i="16"/>
  <c r="N84" i="16"/>
  <c r="N71" i="16"/>
  <c r="N38" i="16"/>
  <c r="N107" i="16"/>
  <c r="N18" i="16"/>
  <c r="N28" i="16"/>
  <c r="N35" i="16"/>
  <c r="N59" i="16"/>
  <c r="N55" i="16"/>
  <c r="D32" i="16"/>
  <c r="F32" i="16" s="1" a="1"/>
  <c r="N36" i="16"/>
  <c r="N29" i="16"/>
  <c r="E36" i="16"/>
  <c r="F36" i="16" s="1" a="1"/>
  <c r="N94" i="16"/>
  <c r="N51" i="16"/>
  <c r="N48" i="16"/>
  <c r="E35" i="16"/>
  <c r="F35" i="16" s="1" a="1"/>
  <c r="N85" i="16"/>
  <c r="N54" i="16"/>
  <c r="N98" i="16"/>
  <c r="N57" i="16"/>
  <c r="N101" i="16"/>
  <c r="N78" i="16"/>
  <c r="N41" i="16"/>
  <c r="N70" i="16"/>
  <c r="N72" i="16"/>
  <c r="E34" i="16"/>
  <c r="F34" i="16" s="1" a="1"/>
  <c r="N103" i="16"/>
  <c r="N95" i="16"/>
  <c r="N22" i="16"/>
  <c r="N75" i="16"/>
  <c r="N106" i="16"/>
  <c r="N32" i="16"/>
  <c r="G34" i="16" l="1"/>
  <c r="H34" i="16"/>
  <c r="J34" i="16" s="1"/>
  <c r="F34" i="16"/>
  <c r="I34" i="16"/>
  <c r="F35" i="16"/>
  <c r="G35" i="16"/>
  <c r="H35" i="16"/>
  <c r="J35" i="16" s="1"/>
  <c r="I35" i="16"/>
  <c r="I36" i="16"/>
  <c r="G36" i="16"/>
  <c r="F36" i="16"/>
  <c r="H36" i="16"/>
  <c r="J36" i="16" s="1"/>
  <c r="I32" i="16"/>
  <c r="F32" i="16"/>
  <c r="G32" i="16"/>
  <c r="H32" i="16"/>
  <c r="J32" i="16" s="1"/>
  <c r="I33" i="16"/>
  <c r="F33" i="16"/>
  <c r="H33" i="16"/>
  <c r="J33" i="16" s="1"/>
  <c r="G33" i="16"/>
  <c r="I27" i="16"/>
  <c r="H27" i="16"/>
  <c r="J27" i="16" s="1"/>
  <c r="F27" i="16"/>
  <c r="G27" i="16"/>
  <c r="M33" i="16"/>
  <c r="C20" i="14"/>
  <c r="M9" i="14"/>
  <c r="L9" i="14"/>
  <c r="M10" i="14"/>
  <c r="L10" i="14"/>
  <c r="C15" i="14"/>
  <c r="J11" i="14"/>
  <c r="J12" i="14" s="1"/>
  <c r="J13" i="14" s="1"/>
  <c r="J14" i="14" s="1"/>
  <c r="J15" i="14" s="1"/>
  <c r="J16" i="14" s="1"/>
  <c r="J17" i="14" s="1"/>
  <c r="J18" i="14" s="1"/>
  <c r="J19" i="14" s="1"/>
  <c r="J20" i="14" s="1"/>
  <c r="J21" i="14" s="1"/>
  <c r="J22" i="14" s="1"/>
  <c r="J23" i="14" s="1"/>
  <c r="J24" i="14" s="1"/>
  <c r="J25" i="14" s="1"/>
  <c r="J26" i="14" s="1"/>
  <c r="J27" i="14" s="1"/>
  <c r="J28" i="14" s="1"/>
  <c r="J29" i="14" s="1"/>
  <c r="J30" i="14" s="1"/>
  <c r="J31" i="14" s="1"/>
  <c r="J32" i="14" s="1"/>
  <c r="J33" i="14" s="1"/>
  <c r="J34" i="14" s="1"/>
  <c r="J35" i="14" s="1"/>
  <c r="J36" i="14" s="1"/>
  <c r="J37" i="14" s="1"/>
  <c r="J38" i="14" s="1"/>
  <c r="J39" i="14" s="1"/>
  <c r="J40" i="14" s="1"/>
  <c r="J41" i="14" s="1"/>
  <c r="J42" i="14" s="1"/>
  <c r="J43" i="14" s="1"/>
  <c r="J44" i="14" s="1"/>
  <c r="J45" i="14" s="1"/>
  <c r="J46" i="14" s="1"/>
  <c r="J47" i="14" s="1"/>
  <c r="J48" i="14" s="1"/>
  <c r="J49" i="14" s="1"/>
  <c r="M49" i="14" s="1"/>
  <c r="G10" i="14"/>
  <c r="H10" i="14" s="1"/>
  <c r="G9" i="14"/>
  <c r="H9" i="14" s="1"/>
  <c r="F11" i="14"/>
  <c r="F12" i="14" s="1"/>
  <c r="F13" i="14" s="1"/>
  <c r="F14" i="14" s="1"/>
  <c r="F15" i="14" s="1"/>
  <c r="F16" i="14" s="1"/>
  <c r="F17" i="14" s="1"/>
  <c r="F18" i="14" s="1"/>
  <c r="F19" i="14" s="1"/>
  <c r="F20" i="14" s="1"/>
  <c r="F21" i="14" s="1"/>
  <c r="F22" i="14" s="1"/>
  <c r="F23" i="14" s="1"/>
  <c r="F24" i="14" s="1"/>
  <c r="F25" i="14" s="1"/>
  <c r="F26" i="14" s="1"/>
  <c r="F27" i="14" s="1"/>
  <c r="F28" i="14" s="1"/>
  <c r="F29" i="14" s="1"/>
  <c r="F30" i="14" s="1"/>
  <c r="F31" i="14" s="1"/>
  <c r="F32" i="14" s="1"/>
  <c r="F33" i="14" s="1"/>
  <c r="F34" i="14" s="1"/>
  <c r="F35" i="14" s="1"/>
  <c r="F36" i="14" s="1"/>
  <c r="F37" i="14" s="1"/>
  <c r="F38" i="14" s="1"/>
  <c r="F39" i="14" s="1"/>
  <c r="F40" i="14" s="1"/>
  <c r="F41" i="14" s="1"/>
  <c r="F42" i="14" s="1"/>
  <c r="F43" i="14" s="1"/>
  <c r="F44" i="14" s="1"/>
  <c r="F45" i="14" s="1"/>
  <c r="F46" i="14" s="1"/>
  <c r="F47" i="14" s="1"/>
  <c r="F48" i="14" s="1"/>
  <c r="F49" i="14" s="1"/>
  <c r="F50" i="14" s="1"/>
  <c r="F51" i="14" s="1"/>
  <c r="F52" i="14" s="1"/>
  <c r="F53" i="14" s="1"/>
  <c r="F54" i="14" s="1"/>
  <c r="F55" i="14" s="1"/>
  <c r="F56" i="14" s="1"/>
  <c r="F57" i="14" s="1"/>
  <c r="F58" i="14" s="1"/>
  <c r="F59" i="14" s="1"/>
  <c r="G59" i="14" s="1"/>
  <c r="K10" i="14" l="1"/>
  <c r="K7" i="14"/>
  <c r="L18" i="14"/>
  <c r="L26" i="14"/>
  <c r="L34" i="14"/>
  <c r="L42" i="14"/>
  <c r="L12" i="14"/>
  <c r="L20" i="14"/>
  <c r="L28" i="14"/>
  <c r="L36" i="14"/>
  <c r="L44" i="14"/>
  <c r="L14" i="14"/>
  <c r="L22" i="14"/>
  <c r="L30" i="14"/>
  <c r="L38" i="14"/>
  <c r="L46" i="14"/>
  <c r="L16" i="14"/>
  <c r="L24" i="14"/>
  <c r="L32" i="14"/>
  <c r="L40" i="14"/>
  <c r="L48" i="14"/>
  <c r="M12" i="14"/>
  <c r="M14" i="14"/>
  <c r="M16" i="14"/>
  <c r="M18" i="14"/>
  <c r="M20" i="14"/>
  <c r="M22" i="14"/>
  <c r="M24" i="14"/>
  <c r="M26" i="14"/>
  <c r="M28" i="14"/>
  <c r="M30" i="14"/>
  <c r="M32" i="14"/>
  <c r="M34" i="14"/>
  <c r="M36" i="14"/>
  <c r="M38" i="14"/>
  <c r="M40" i="14"/>
  <c r="M42" i="14"/>
  <c r="M44" i="14"/>
  <c r="M46" i="14"/>
  <c r="M48" i="14"/>
  <c r="L11" i="14"/>
  <c r="L13" i="14"/>
  <c r="L15" i="14"/>
  <c r="L17" i="14"/>
  <c r="L19" i="14"/>
  <c r="L21" i="14"/>
  <c r="L23" i="14"/>
  <c r="L25" i="14"/>
  <c r="L27" i="14"/>
  <c r="L29" i="14"/>
  <c r="L31" i="14"/>
  <c r="L33" i="14"/>
  <c r="L35" i="14"/>
  <c r="L37" i="14"/>
  <c r="L39" i="14"/>
  <c r="L41" i="14"/>
  <c r="L43" i="14"/>
  <c r="L45" i="14"/>
  <c r="L47" i="14"/>
  <c r="L49" i="14"/>
  <c r="K49" i="14" s="1"/>
  <c r="M11" i="14"/>
  <c r="M13" i="14"/>
  <c r="M15" i="14"/>
  <c r="M17" i="14"/>
  <c r="M19" i="14"/>
  <c r="M21" i="14"/>
  <c r="M23" i="14"/>
  <c r="M25" i="14"/>
  <c r="M27" i="14"/>
  <c r="M29" i="14"/>
  <c r="M31" i="14"/>
  <c r="M33" i="14"/>
  <c r="M35" i="14"/>
  <c r="M37" i="14"/>
  <c r="M39" i="14"/>
  <c r="M41" i="14"/>
  <c r="M43" i="14"/>
  <c r="M45" i="14"/>
  <c r="M47" i="14"/>
  <c r="C18" i="14"/>
  <c r="C21" i="14" s="1"/>
  <c r="H59" i="14"/>
  <c r="G53" i="14"/>
  <c r="H53" i="14" s="1"/>
  <c r="G45" i="14"/>
  <c r="H45" i="14" s="1"/>
  <c r="G37" i="14"/>
  <c r="H37" i="14" s="1"/>
  <c r="G29" i="14"/>
  <c r="H29" i="14" s="1"/>
  <c r="G21" i="14"/>
  <c r="H21" i="14" s="1"/>
  <c r="G13" i="14"/>
  <c r="H13" i="14" s="1"/>
  <c r="G56" i="14"/>
  <c r="H56" i="14" s="1"/>
  <c r="G52" i="14"/>
  <c r="H52" i="14" s="1"/>
  <c r="G48" i="14"/>
  <c r="H48" i="14" s="1"/>
  <c r="G44" i="14"/>
  <c r="H44" i="14" s="1"/>
  <c r="G40" i="14"/>
  <c r="H40" i="14" s="1"/>
  <c r="G36" i="14"/>
  <c r="H36" i="14" s="1"/>
  <c r="G32" i="14"/>
  <c r="H32" i="14" s="1"/>
  <c r="G28" i="14"/>
  <c r="H28" i="14" s="1"/>
  <c r="G24" i="14"/>
  <c r="H24" i="14" s="1"/>
  <c r="G20" i="14"/>
  <c r="H20" i="14" s="1"/>
  <c r="G16" i="14"/>
  <c r="H16" i="14" s="1"/>
  <c r="G12" i="14"/>
  <c r="H12" i="14" s="1"/>
  <c r="C17" i="14"/>
  <c r="G57" i="14"/>
  <c r="H57" i="14" s="1"/>
  <c r="G49" i="14"/>
  <c r="H49" i="14" s="1"/>
  <c r="G41" i="14"/>
  <c r="H41" i="14" s="1"/>
  <c r="G33" i="14"/>
  <c r="H33" i="14" s="1"/>
  <c r="G25" i="14"/>
  <c r="H25" i="14" s="1"/>
  <c r="G17" i="14"/>
  <c r="H17" i="14" s="1"/>
  <c r="G55" i="14"/>
  <c r="H55" i="14" s="1"/>
  <c r="G51" i="14"/>
  <c r="H51" i="14" s="1"/>
  <c r="G47" i="14"/>
  <c r="H47" i="14" s="1"/>
  <c r="G43" i="14"/>
  <c r="H43" i="14" s="1"/>
  <c r="G39" i="14"/>
  <c r="H39" i="14" s="1"/>
  <c r="G35" i="14"/>
  <c r="H35" i="14" s="1"/>
  <c r="G31" i="14"/>
  <c r="H31" i="14" s="1"/>
  <c r="G27" i="14"/>
  <c r="H27" i="14" s="1"/>
  <c r="G23" i="14"/>
  <c r="H23" i="14" s="1"/>
  <c r="G19" i="14"/>
  <c r="H19" i="14" s="1"/>
  <c r="G15" i="14"/>
  <c r="H15" i="14" s="1"/>
  <c r="G11" i="14"/>
  <c r="H11" i="14" s="1"/>
  <c r="G58" i="14"/>
  <c r="H58" i="14" s="1"/>
  <c r="G54" i="14"/>
  <c r="H54" i="14" s="1"/>
  <c r="G50" i="14"/>
  <c r="H50" i="14" s="1"/>
  <c r="G46" i="14"/>
  <c r="H46" i="14" s="1"/>
  <c r="G42" i="14"/>
  <c r="H42" i="14" s="1"/>
  <c r="G38" i="14"/>
  <c r="H38" i="14" s="1"/>
  <c r="G34" i="14"/>
  <c r="H34" i="14" s="1"/>
  <c r="G30" i="14"/>
  <c r="H30" i="14" s="1"/>
  <c r="G26" i="14"/>
  <c r="H26" i="14" s="1"/>
  <c r="G22" i="14"/>
  <c r="H22" i="14" s="1"/>
  <c r="G18" i="14"/>
  <c r="H18" i="14" s="1"/>
  <c r="G14" i="14"/>
  <c r="H14" i="14" s="1"/>
  <c r="K36" i="14" l="1"/>
  <c r="K47" i="14"/>
  <c r="K31" i="14"/>
  <c r="K15" i="14"/>
  <c r="K11" i="14"/>
  <c r="K43" i="14"/>
  <c r="K35" i="14"/>
  <c r="K19" i="14"/>
  <c r="K39" i="14"/>
  <c r="K23" i="14"/>
  <c r="K38" i="14"/>
  <c r="K40" i="14"/>
  <c r="K44" i="14"/>
  <c r="K12" i="14"/>
  <c r="K18" i="14"/>
  <c r="K32" i="14"/>
  <c r="K42" i="14"/>
  <c r="K27" i="14"/>
  <c r="K24" i="14"/>
  <c r="K30" i="14"/>
  <c r="K26" i="14"/>
  <c r="K28" i="14"/>
  <c r="K20" i="14"/>
  <c r="K46" i="14"/>
  <c r="K22" i="14"/>
  <c r="K14" i="14"/>
  <c r="K45" i="14"/>
  <c r="K37" i="14"/>
  <c r="K29" i="14"/>
  <c r="K21" i="14"/>
  <c r="K13" i="14"/>
  <c r="K34" i="14"/>
  <c r="K41" i="14"/>
  <c r="K33" i="14"/>
  <c r="K25" i="14"/>
  <c r="K17" i="14"/>
  <c r="K48" i="14"/>
  <c r="K16" i="14"/>
  <c r="C17" i="11" l="1"/>
  <c r="C16" i="11"/>
  <c r="I14" i="11"/>
  <c r="H14" i="11"/>
  <c r="K14" i="11" s="1"/>
  <c r="C30" i="11"/>
  <c r="B30" i="11" s="1"/>
  <c r="G15" i="11"/>
  <c r="I15" i="11" s="1"/>
  <c r="I13" i="11"/>
  <c r="H13" i="11"/>
  <c r="C20" i="11"/>
  <c r="G16" i="11" l="1"/>
  <c r="I16" i="11" s="1"/>
  <c r="H15" i="11"/>
  <c r="J14" i="11"/>
  <c r="C18" i="11"/>
  <c r="C19" i="11"/>
  <c r="C21" i="11"/>
  <c r="H16" i="11" l="1"/>
  <c r="G17" i="11"/>
  <c r="H17" i="11" s="1"/>
  <c r="K15" i="11"/>
  <c r="G18" i="11"/>
  <c r="K16" i="11"/>
  <c r="J16" i="11"/>
  <c r="J15" i="11"/>
  <c r="I17" i="11" l="1"/>
  <c r="K17" i="11"/>
  <c r="I18" i="11"/>
  <c r="G19" i="11"/>
  <c r="H18" i="11"/>
  <c r="J17" i="11"/>
  <c r="J18" i="11"/>
  <c r="G20" i="11" l="1"/>
  <c r="I19" i="11"/>
  <c r="H19" i="11"/>
  <c r="K18" i="11"/>
  <c r="J19" i="11"/>
  <c r="I20" i="11" l="1"/>
  <c r="H20" i="11"/>
  <c r="G21" i="11"/>
  <c r="K19" i="11"/>
  <c r="J20" i="11"/>
  <c r="K20" i="11" l="1"/>
  <c r="H21" i="11"/>
  <c r="I21" i="11"/>
  <c r="G22" i="11"/>
  <c r="K21" i="11" l="1"/>
  <c r="I22" i="11"/>
  <c r="H22" i="11"/>
  <c r="G23" i="11"/>
  <c r="J21" i="11"/>
  <c r="G24" i="11" l="1"/>
  <c r="I23" i="11"/>
  <c r="H23" i="11"/>
  <c r="K22" i="11"/>
  <c r="J22" i="11"/>
  <c r="J23" i="11"/>
  <c r="K23" i="11" l="1"/>
  <c r="I24" i="11"/>
  <c r="H24" i="11"/>
  <c r="G25" i="11"/>
  <c r="J24" i="11"/>
  <c r="H25" i="11" l="1"/>
  <c r="I25" i="11"/>
  <c r="G26" i="11"/>
  <c r="K24" i="11"/>
  <c r="J25" i="11"/>
  <c r="K25" i="11" l="1"/>
  <c r="G27" i="11"/>
  <c r="I26" i="11"/>
  <c r="H26" i="11"/>
  <c r="J26" i="11"/>
  <c r="K26" i="11" l="1"/>
  <c r="I27" i="11"/>
  <c r="H27" i="11"/>
  <c r="G28" i="11"/>
  <c r="J27" i="11"/>
  <c r="K27" i="11" l="1"/>
  <c r="I28" i="11"/>
  <c r="H28" i="11"/>
  <c r="G29" i="11"/>
  <c r="J28" i="11"/>
  <c r="H29" i="11" l="1"/>
  <c r="I29" i="11"/>
  <c r="G30" i="11"/>
  <c r="K28" i="11"/>
  <c r="J29" i="11"/>
  <c r="G31" i="11" l="1"/>
  <c r="I30" i="11"/>
  <c r="H30" i="11"/>
  <c r="K29" i="11"/>
  <c r="K30" i="11" l="1"/>
  <c r="I31" i="11"/>
  <c r="H31" i="11"/>
  <c r="G32" i="11"/>
  <c r="J30" i="11"/>
  <c r="J31" i="11"/>
  <c r="I32" i="11" l="1"/>
  <c r="H32" i="11"/>
  <c r="G33" i="11"/>
  <c r="K31" i="11"/>
  <c r="J32" i="11"/>
  <c r="K32" i="11" l="1"/>
  <c r="H33" i="11"/>
  <c r="K33" i="11" s="1"/>
  <c r="I33" i="11"/>
  <c r="J33" i="11"/>
  <c r="K35" i="11" l="1"/>
  <c r="J35" i="11"/>
  <c r="C23" i="11" s="1"/>
  <c r="C24" i="11" s="1"/>
  <c r="C31" i="11" l="1"/>
  <c r="B31" i="1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<sst xmlns="http://schemas.openxmlformats.org/spreadsheetml/2006/main" count="98" uniqueCount="64">
  <si>
    <t>Inputs</t>
  </si>
  <si>
    <t>Recovery</t>
  </si>
  <si>
    <t>Maturity</t>
  </si>
  <si>
    <t>Reference CDS Spread</t>
  </si>
  <si>
    <t>Counterparty CDS Spread</t>
  </si>
  <si>
    <t>Correlation</t>
  </si>
  <si>
    <t>Reference</t>
  </si>
  <si>
    <t>Cntrpty</t>
  </si>
  <si>
    <t>CDS Default Leg</t>
  </si>
  <si>
    <t>CDS Prem Leg</t>
  </si>
  <si>
    <t>Reference Entity Defaults</t>
  </si>
  <si>
    <t>Cntprty Defaults</t>
  </si>
  <si>
    <t>Both Default</t>
  </si>
  <si>
    <t>Neither Default</t>
  </si>
  <si>
    <t>Only Reference Defaults</t>
  </si>
  <si>
    <t>Only Counterparty Defaults</t>
  </si>
  <si>
    <t>CDS Spread (counterparty risk)</t>
  </si>
  <si>
    <t>CVA (spread per annum)</t>
  </si>
  <si>
    <t>Interest rate</t>
  </si>
  <si>
    <t>Firm Value</t>
  </si>
  <si>
    <t>Debt</t>
  </si>
  <si>
    <t>Volatility</t>
  </si>
  <si>
    <t>Base parameters</t>
  </si>
  <si>
    <t>d1</t>
  </si>
  <si>
    <t>d2</t>
  </si>
  <si>
    <t>Equity</t>
  </si>
  <si>
    <t>Pdef</t>
  </si>
  <si>
    <t xml:space="preserve">Equity </t>
  </si>
  <si>
    <t>Credit spread</t>
  </si>
  <si>
    <t>Risk free bond</t>
  </si>
  <si>
    <t>Historical Prices</t>
  </si>
  <si>
    <t>Points</t>
  </si>
  <si>
    <t>BC Curve</t>
  </si>
  <si>
    <t>Index</t>
  </si>
  <si>
    <t>4th Dec</t>
  </si>
  <si>
    <t>19th March</t>
  </si>
  <si>
    <t>4th May 05</t>
  </si>
  <si>
    <t>28th Aug 09</t>
  </si>
  <si>
    <t>Num Names</t>
  </si>
  <si>
    <t>Flat Interest Rate</t>
  </si>
  <si>
    <t>Integration Points</t>
  </si>
  <si>
    <t>Interpolation</t>
  </si>
  <si>
    <t>Spline</t>
  </si>
  <si>
    <t>Calibrate</t>
  </si>
  <si>
    <t>Attach</t>
  </si>
  <si>
    <t>Detach</t>
  </si>
  <si>
    <t>Mkt Premium</t>
  </si>
  <si>
    <t>Base Correl</t>
  </si>
  <si>
    <t>Up-front</t>
  </si>
  <si>
    <t>Duration</t>
  </si>
  <si>
    <t>Fair prem</t>
  </si>
  <si>
    <t>Expected loss</t>
  </si>
  <si>
    <t>Check prices</t>
  </si>
  <si>
    <t>Price tranches</t>
  </si>
  <si>
    <t>Attach Correl</t>
  </si>
  <si>
    <t>Detach Correl</t>
  </si>
  <si>
    <t>Premium</t>
  </si>
  <si>
    <t>SolveBCPoint(B24,C24,$C$15,$C$11,$C$12,E23,E23,$C$13,$C$14,$C$16,D24,500)</t>
  </si>
  <si>
    <t>Time</t>
  </si>
  <si>
    <t>Market</t>
  </si>
  <si>
    <t>Error</t>
  </si>
  <si>
    <t>Tranche</t>
  </si>
  <si>
    <t>Upfront</t>
  </si>
  <si>
    <t>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</si>
</sst>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 #,##0\ _F_-;\-* #,##0\ _F_-;_-* &quot;-&quot;\ _F_-;_-@_-"/>
    <numFmt numFmtId="165" formatCode="_-* #,##0.00\ _F_-;\-* #,##0.00\ _F_-;_-* &quot;-&quot;??\ _F_-;_-@_-"/>
    <numFmt numFmtId="166" formatCode="_-* #,##0\ &quot;F&quot;_-;\-* #,##0\ &quot;F&quot;_-;_-* &quot;-&quot;\ &quot;F&quot;_-;_-@_-"/>
    <numFmt numFmtId="167" formatCode="_-* #,##0.00\ &quot;F&quot;_-;\-* #,##0.00\ &quot;F&quot;_-;_-* &quot;-&quot;??\ &quot;F&quot;_-;_-@_-"/>
    <numFmt numFmtId="168" formatCode="0.000000%"/>
    <numFmt numFmtId="169" formatCode="#,##0.0;\-#,##0.0"/>
    <numFmt numFmtId="170" formatCode="0.000%"/>
    <numFmt numFmtId="171" formatCode="0.000"/>
    <numFmt numFmtId="172" formatCode="0.000000"/>
    <numFmt numFmtId="173" formatCode="0.0%"/>
    <numFmt numFmtId="174" formatCode="0.0000%"/>
    <numFmt numFmtId="175" formatCode="0.0"/>
    <numFmt numFmtId="176" formatCode="0.0000"/>
  </numFmts>
  <fonts count="32" x14ac:knownFonts="1">
    <font>
      <sz val="10"/>
      <name val="Arial"/>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MS Sans Serif"/>
      <family val="2"/>
    </font>
    <font>
      <sz val="8.5"/>
      <name val="MS Sans Serif"/>
      <family val="2"/>
    </font>
    <font>
      <i/>
      <sz val="11"/>
      <color indexed="23"/>
      <name val="Calibri"/>
      <family val="2"/>
    </font>
    <font>
      <sz val="11"/>
      <color indexed="17"/>
      <name val="Calibri"/>
      <family val="2"/>
    </font>
    <font>
      <b/>
      <sz val="10"/>
      <name val="MS Sans Serif"/>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i/>
      <sz val="10"/>
      <name val="Arial"/>
      <family val="2"/>
    </font>
    <font>
      <b/>
      <sz val="24"/>
      <name val="MS Sans Serif"/>
      <family val="2"/>
    </font>
    <font>
      <b/>
      <sz val="18"/>
      <color indexed="56"/>
      <name val="Cambria"/>
      <family val="2"/>
    </font>
    <font>
      <b/>
      <sz val="11"/>
      <color indexed="8"/>
      <name val="Calibri"/>
      <family val="2"/>
    </font>
    <font>
      <sz val="11"/>
      <color indexed="10"/>
      <name val="Calibri"/>
      <family val="2"/>
    </font>
    <font>
      <b/>
      <sz val="11"/>
      <name val="Arial"/>
      <family val="2"/>
    </font>
    <font>
      <sz val="10"/>
      <color indexed="10"/>
      <name val="Arial"/>
      <family val="2"/>
    </font>
    <font>
      <sz val="10"/>
      <color rgb="FF00B050"/>
      <name val="Arial"/>
      <family val="2"/>
    </font>
    <font>
      <b/>
      <sz val="10"/>
      <name val="Arial"/>
      <family val="2"/>
    </font>
    <font>
      <b/>
      <i/>
      <sz val="16"/>
      <name val="Arial"/>
      <family val="2"/>
    </font>
    <font>
      <b/>
      <i/>
      <sz val="10"/>
      <name val="Arial"/>
      <family val="2"/>
    </font>
    <font>
      <sz val="10"/>
      <color rgb="FFC00000"/>
      <name val="Arial"/>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bgColor indexed="9"/>
      </patternFill>
    </fill>
    <fill>
      <patternFill patternType="darkGray">
        <fgColor indexed="9"/>
        <bgColor indexed="43"/>
      </patternFill>
    </fill>
    <fill>
      <patternFill patternType="mediumGray">
        <fgColor indexed="9"/>
        <bgColor indexed="22"/>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style="thin">
        <color indexed="62"/>
      </top>
      <bottom style="double">
        <color indexed="62"/>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right style="medium">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s>
  <cellStyleXfs count="60">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22" borderId="3" applyNumberFormat="0" applyFont="0" applyBorder="0" applyAlignment="0" applyProtection="0">
      <alignment horizontal="centerContinuous"/>
    </xf>
    <xf numFmtId="0" fontId="9" fillId="23" borderId="4" applyNumberFormat="0" applyBorder="0">
      <alignment horizontal="left"/>
    </xf>
    <xf numFmtId="0" fontId="10" fillId="0" borderId="0" applyNumberFormat="0" applyFill="0" applyBorder="0" applyAlignment="0" applyProtection="0"/>
    <xf numFmtId="0" fontId="11" fillId="4" borderId="0" applyNumberFormat="0" applyBorder="0" applyAlignment="0" applyProtection="0"/>
    <xf numFmtId="0" fontId="12" fillId="24" borderId="5" applyNumberFormat="0" applyFont="0" applyBorder="0" applyAlignment="0">
      <alignment horizontal="centerContinuous"/>
    </xf>
    <xf numFmtId="0" fontId="13" fillId="0" borderId="6" applyNumberFormat="0" applyFill="0" applyAlignment="0" applyProtection="0"/>
    <xf numFmtId="0" fontId="14" fillId="0" borderId="7" applyNumberFormat="0" applyFill="0" applyAlignment="0" applyProtection="0"/>
    <xf numFmtId="0" fontId="15" fillId="0" borderId="8" applyNumberFormat="0" applyFill="0" applyAlignment="0" applyProtection="0"/>
    <xf numFmtId="0" fontId="15" fillId="0" borderId="0" applyNumberFormat="0" applyFill="0" applyBorder="0" applyAlignment="0" applyProtection="0"/>
    <xf numFmtId="0" fontId="16" fillId="7" borderId="1" applyNumberFormat="0" applyAlignment="0" applyProtection="0"/>
    <xf numFmtId="0" fontId="17" fillId="0" borderId="9" applyNumberFormat="0" applyFill="0" applyAlignment="0" applyProtection="0"/>
    <xf numFmtId="164"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lignment horizontal="right"/>
    </xf>
    <xf numFmtId="0" fontId="18" fillId="25" borderId="0" applyNumberFormat="0" applyBorder="0" applyAlignment="0" applyProtection="0"/>
    <xf numFmtId="0" fontId="3" fillId="26" borderId="10" applyNumberFormat="0" applyFont="0" applyAlignment="0" applyProtection="0"/>
    <xf numFmtId="0" fontId="19" fillId="20" borderId="11" applyNumberFormat="0" applyAlignment="0" applyProtection="0"/>
    <xf numFmtId="9" fontId="2" fillId="0" borderId="0" applyFont="0" applyFill="0" applyBorder="0" applyAlignment="0" applyProtection="0"/>
    <xf numFmtId="0" fontId="20" fillId="27" borderId="12">
      <alignment horizontal="center"/>
    </xf>
    <xf numFmtId="0" fontId="2" fillId="0" borderId="0">
      <alignment horizontal="left" wrapText="1"/>
    </xf>
    <xf numFmtId="0" fontId="21" fillId="0" borderId="0">
      <alignment horizontal="center"/>
    </xf>
    <xf numFmtId="0" fontId="22" fillId="0" borderId="0" applyNumberFormat="0" applyFill="0" applyBorder="0" applyAlignment="0" applyProtection="0"/>
    <xf numFmtId="0" fontId="23" fillId="0" borderId="13" applyNumberFormat="0" applyFill="0" applyAlignment="0" applyProtection="0"/>
    <xf numFmtId="0" fontId="24" fillId="0" borderId="0" applyNumberFormat="0" applyFill="0" applyBorder="0" applyAlignment="0" applyProtection="0"/>
    <xf numFmtId="0" fontId="25" fillId="28" borderId="0">
      <alignment horizontal="right"/>
    </xf>
    <xf numFmtId="169" fontId="2" fillId="0" borderId="0">
      <alignment horizontal="center"/>
    </xf>
    <xf numFmtId="0" fontId="1" fillId="0" borderId="0"/>
    <xf numFmtId="0" fontId="2" fillId="0" borderId="0"/>
    <xf numFmtId="0" fontId="2" fillId="0" borderId="0"/>
    <xf numFmtId="0" fontId="2" fillId="0" borderId="0"/>
  </cellStyleXfs>
  <cellXfs count="148">
    <xf numFmtId="0" fontId="0" fillId="0" borderId="0" xfId="0"/>
    <xf numFmtId="0" fontId="2" fillId="27" borderId="0" xfId="57" applyFill="1"/>
    <xf numFmtId="0" fontId="2" fillId="0" borderId="0" xfId="57"/>
    <xf numFmtId="0" fontId="2" fillId="0" borderId="18" xfId="57" applyBorder="1"/>
    <xf numFmtId="0" fontId="2" fillId="0" borderId="16" xfId="57" applyBorder="1"/>
    <xf numFmtId="170" fontId="0" fillId="0" borderId="0" xfId="47" applyNumberFormat="1" applyFont="1"/>
    <xf numFmtId="9" fontId="26" fillId="0" borderId="19" xfId="57" applyNumberFormat="1" applyFont="1" applyBorder="1" applyProtection="1">
      <protection locked="0"/>
    </xf>
    <xf numFmtId="170" fontId="2" fillId="0" borderId="0" xfId="57" applyNumberFormat="1"/>
    <xf numFmtId="0" fontId="2" fillId="0" borderId="20" xfId="57" applyBorder="1"/>
    <xf numFmtId="171" fontId="2" fillId="0" borderId="0" xfId="57" applyNumberFormat="1"/>
    <xf numFmtId="10" fontId="2" fillId="0" borderId="0" xfId="57" applyNumberFormat="1"/>
    <xf numFmtId="2" fontId="2" fillId="0" borderId="0" xfId="57" applyNumberFormat="1"/>
    <xf numFmtId="0" fontId="29" fillId="0" borderId="0" xfId="57" applyFont="1"/>
    <xf numFmtId="0" fontId="28" fillId="0" borderId="15" xfId="57" applyFont="1" applyBorder="1"/>
    <xf numFmtId="0" fontId="28" fillId="0" borderId="14" xfId="57" applyFont="1" applyBorder="1"/>
    <xf numFmtId="10" fontId="2" fillId="0" borderId="0" xfId="47" applyNumberFormat="1"/>
    <xf numFmtId="10" fontId="2" fillId="0" borderId="0" xfId="47" applyNumberFormat="1" applyFont="1"/>
    <xf numFmtId="172" fontId="2" fillId="0" borderId="0" xfId="57" applyNumberFormat="1"/>
    <xf numFmtId="1" fontId="2" fillId="0" borderId="21" xfId="57" applyNumberFormat="1" applyBorder="1"/>
    <xf numFmtId="170" fontId="2" fillId="0" borderId="0" xfId="47" applyNumberFormat="1"/>
    <xf numFmtId="10" fontId="2" fillId="0" borderId="17" xfId="47" applyNumberFormat="1" applyBorder="1"/>
    <xf numFmtId="10" fontId="2" fillId="0" borderId="19" xfId="47" applyNumberFormat="1" applyBorder="1"/>
    <xf numFmtId="10" fontId="2" fillId="0" borderId="21" xfId="47" applyNumberFormat="1" applyBorder="1"/>
    <xf numFmtId="9" fontId="2" fillId="0" borderId="0" xfId="57" applyNumberFormat="1"/>
    <xf numFmtId="0" fontId="28" fillId="0" borderId="0" xfId="57" applyFont="1"/>
    <xf numFmtId="10" fontId="26" fillId="0" borderId="17" xfId="47" applyNumberFormat="1" applyFont="1" applyBorder="1" applyProtection="1">
      <protection locked="0"/>
    </xf>
    <xf numFmtId="10" fontId="26" fillId="0" borderId="19" xfId="47" applyNumberFormat="1" applyFont="1" applyBorder="1" applyProtection="1">
      <protection locked="0"/>
    </xf>
    <xf numFmtId="10" fontId="2" fillId="0" borderId="0" xfId="47" applyNumberFormat="1" applyBorder="1"/>
    <xf numFmtId="0" fontId="2" fillId="0" borderId="0" xfId="58"/>
    <xf numFmtId="0" fontId="2" fillId="0" borderId="16" xfId="58" applyBorder="1"/>
    <xf numFmtId="0" fontId="2" fillId="0" borderId="18" xfId="58" applyBorder="1"/>
    <xf numFmtId="0" fontId="2" fillId="0" borderId="20" xfId="58" applyBorder="1"/>
    <xf numFmtId="10" fontId="2" fillId="0" borderId="0" xfId="58" applyNumberFormat="1"/>
    <xf numFmtId="174" fontId="28" fillId="0" borderId="0" xfId="58" applyNumberFormat="1" applyFont="1"/>
    <xf numFmtId="170" fontId="2" fillId="0" borderId="0" xfId="58" applyNumberFormat="1"/>
    <xf numFmtId="170" fontId="2" fillId="0" borderId="0" xfId="47" applyNumberFormat="1" applyBorder="1"/>
    <xf numFmtId="0" fontId="27" fillId="0" borderId="19" xfId="58" applyFont="1" applyBorder="1"/>
    <xf numFmtId="9" fontId="27" fillId="0" borderId="19" xfId="58" applyNumberFormat="1" applyFont="1" applyBorder="1"/>
    <xf numFmtId="0" fontId="27" fillId="0" borderId="21" xfId="58" applyFont="1" applyBorder="1"/>
    <xf numFmtId="171" fontId="31" fillId="0" borderId="17" xfId="58" applyNumberFormat="1" applyFont="1" applyBorder="1"/>
    <xf numFmtId="171" fontId="31" fillId="0" borderId="19" xfId="58" applyNumberFormat="1" applyFont="1" applyBorder="1"/>
    <xf numFmtId="2" fontId="31" fillId="0" borderId="19" xfId="58" applyNumberFormat="1" applyFont="1" applyBorder="1"/>
    <xf numFmtId="10" fontId="31" fillId="0" borderId="21" xfId="47" applyNumberFormat="1" applyFont="1" applyBorder="1"/>
    <xf numFmtId="2" fontId="2" fillId="0" borderId="0" xfId="58" applyNumberFormat="1"/>
    <xf numFmtId="0" fontId="2" fillId="0" borderId="0" xfId="59"/>
    <xf numFmtId="0" fontId="30" fillId="0" borderId="16" xfId="59" applyFont="1" applyBorder="1"/>
    <xf numFmtId="0" fontId="2" fillId="0" borderId="24" xfId="59" applyBorder="1"/>
    <xf numFmtId="0" fontId="2" fillId="0" borderId="16" xfId="59" applyBorder="1"/>
    <xf numFmtId="0" fontId="30" fillId="0" borderId="25" xfId="59" applyFont="1" applyBorder="1"/>
    <xf numFmtId="0" fontId="30" fillId="0" borderId="24" xfId="59" applyFont="1" applyBorder="1"/>
    <xf numFmtId="173" fontId="2" fillId="0" borderId="0" xfId="47" applyNumberFormat="1"/>
    <xf numFmtId="173" fontId="2" fillId="0" borderId="0" xfId="59" applyNumberFormat="1"/>
    <xf numFmtId="170" fontId="26" fillId="0" borderId="17" xfId="59" applyNumberFormat="1" applyFont="1" applyBorder="1"/>
    <xf numFmtId="0" fontId="2" fillId="0" borderId="14" xfId="59" applyBorder="1"/>
    <xf numFmtId="9" fontId="2" fillId="0" borderId="0" xfId="47"/>
    <xf numFmtId="0" fontId="2" fillId="0" borderId="18" xfId="59" applyBorder="1"/>
    <xf numFmtId="9" fontId="26" fillId="0" borderId="19" xfId="59" applyNumberFormat="1" applyFont="1" applyBorder="1"/>
    <xf numFmtId="0" fontId="2" fillId="0" borderId="20" xfId="59" applyBorder="1"/>
    <xf numFmtId="0" fontId="2" fillId="0" borderId="27" xfId="59" applyBorder="1"/>
    <xf numFmtId="0" fontId="2" fillId="0" borderId="28" xfId="59" applyBorder="1"/>
    <xf numFmtId="175" fontId="26" fillId="0" borderId="19" xfId="59" applyNumberFormat="1" applyFont="1" applyBorder="1"/>
    <xf numFmtId="10" fontId="2" fillId="0" borderId="18" xfId="59" applyNumberFormat="1" applyBorder="1"/>
    <xf numFmtId="10" fontId="2" fillId="0" borderId="29" xfId="59" applyNumberFormat="1" applyBorder="1"/>
    <xf numFmtId="10" fontId="2" fillId="0" borderId="30" xfId="59" applyNumberFormat="1" applyBorder="1"/>
    <xf numFmtId="10" fontId="2" fillId="0" borderId="30" xfId="47" applyNumberFormat="1" applyBorder="1"/>
    <xf numFmtId="1" fontId="26" fillId="0" borderId="19" xfId="59" applyNumberFormat="1" applyFont="1" applyBorder="1"/>
    <xf numFmtId="0" fontId="2" fillId="0" borderId="31" xfId="59" applyBorder="1"/>
    <xf numFmtId="0" fontId="2" fillId="0" borderId="30" xfId="59" applyBorder="1"/>
    <xf numFmtId="175" fontId="2" fillId="0" borderId="0" xfId="47" applyNumberFormat="1"/>
    <xf numFmtId="2" fontId="2" fillId="0" borderId="18" xfId="59" applyNumberFormat="1" applyBorder="1"/>
    <xf numFmtId="0" fontId="26" fillId="0" borderId="21" xfId="59" applyFont="1" applyBorder="1" applyAlignment="1">
      <alignment horizontal="right"/>
    </xf>
    <xf numFmtId="2" fontId="2" fillId="0" borderId="20" xfId="59" applyNumberFormat="1" applyBorder="1"/>
    <xf numFmtId="10" fontId="2" fillId="0" borderId="0" xfId="59" applyNumberFormat="1"/>
    <xf numFmtId="0" fontId="30" fillId="0" borderId="0" xfId="59" applyFont="1"/>
    <xf numFmtId="9" fontId="2" fillId="0" borderId="0" xfId="59" applyNumberFormat="1"/>
    <xf numFmtId="0" fontId="2" fillId="0" borderId="15" xfId="59" applyBorder="1" applyAlignment="1">
      <alignment horizontal="right"/>
    </xf>
    <xf numFmtId="0" fontId="2" fillId="0" borderId="32" xfId="59" applyBorder="1" applyAlignment="1">
      <alignment horizontal="right"/>
    </xf>
    <xf numFmtId="0" fontId="2" fillId="0" borderId="26" xfId="59" applyBorder="1" applyAlignment="1">
      <alignment horizontal="right"/>
    </xf>
    <xf numFmtId="0" fontId="2" fillId="0" borderId="14" xfId="59" applyBorder="1" applyAlignment="1">
      <alignment horizontal="right"/>
    </xf>
    <xf numFmtId="9" fontId="2" fillId="0" borderId="18" xfId="59" applyNumberFormat="1" applyBorder="1"/>
    <xf numFmtId="9" fontId="2" fillId="0" borderId="31" xfId="59" applyNumberFormat="1" applyBorder="1"/>
    <xf numFmtId="10" fontId="26" fillId="0" borderId="0" xfId="59" applyNumberFormat="1" applyFont="1"/>
    <xf numFmtId="171" fontId="2" fillId="0" borderId="31" xfId="59" applyNumberFormat="1" applyBorder="1"/>
    <xf numFmtId="174" fontId="2" fillId="0" borderId="0" xfId="47" applyNumberFormat="1" applyBorder="1"/>
    <xf numFmtId="170" fontId="2" fillId="0" borderId="31" xfId="47" applyNumberFormat="1" applyBorder="1"/>
    <xf numFmtId="170" fontId="2" fillId="0" borderId="30" xfId="47" applyNumberFormat="1" applyFont="1" applyBorder="1"/>
    <xf numFmtId="0" fontId="26" fillId="0" borderId="0" xfId="59" applyFont="1"/>
    <xf numFmtId="175" fontId="2" fillId="0" borderId="30" xfId="59" applyNumberFormat="1" applyBorder="1"/>
    <xf numFmtId="9" fontId="2" fillId="0" borderId="20" xfId="59" applyNumberFormat="1" applyBorder="1"/>
    <xf numFmtId="9" fontId="2" fillId="0" borderId="27" xfId="59" applyNumberFormat="1" applyBorder="1"/>
    <xf numFmtId="0" fontId="26" fillId="0" borderId="33" xfId="59" applyFont="1" applyBorder="1"/>
    <xf numFmtId="10" fontId="2" fillId="0" borderId="33" xfId="47" applyNumberFormat="1" applyBorder="1"/>
    <xf numFmtId="171" fontId="2" fillId="0" borderId="27" xfId="59" applyNumberFormat="1" applyBorder="1"/>
    <xf numFmtId="174" fontId="2" fillId="0" borderId="33" xfId="47" applyNumberFormat="1" applyBorder="1"/>
    <xf numFmtId="170" fontId="2" fillId="0" borderId="27" xfId="47" applyNumberFormat="1" applyBorder="1"/>
    <xf numFmtId="175" fontId="2" fillId="0" borderId="28" xfId="59" applyNumberFormat="1" applyBorder="1"/>
    <xf numFmtId="175" fontId="2" fillId="0" borderId="0" xfId="59" applyNumberFormat="1"/>
    <xf numFmtId="9" fontId="26" fillId="0" borderId="16" xfId="59" applyNumberFormat="1" applyFont="1" applyBorder="1"/>
    <xf numFmtId="9" fontId="26" fillId="0" borderId="29" xfId="59" applyNumberFormat="1" applyFont="1" applyBorder="1"/>
    <xf numFmtId="10" fontId="2" fillId="0" borderId="29" xfId="47" applyNumberFormat="1" applyBorder="1"/>
    <xf numFmtId="10" fontId="2" fillId="0" borderId="25" xfId="47" applyNumberFormat="1" applyBorder="1"/>
    <xf numFmtId="171" fontId="2" fillId="0" borderId="29" xfId="59" applyNumberFormat="1" applyBorder="1"/>
    <xf numFmtId="174" fontId="2" fillId="0" borderId="25" xfId="47" applyNumberFormat="1" applyBorder="1"/>
    <xf numFmtId="170" fontId="2" fillId="0" borderId="29" xfId="47" applyNumberFormat="1" applyBorder="1"/>
    <xf numFmtId="175" fontId="2" fillId="0" borderId="24" xfId="59" applyNumberFormat="1" applyBorder="1"/>
    <xf numFmtId="9" fontId="26" fillId="0" borderId="18" xfId="59" applyNumberFormat="1" applyFont="1" applyBorder="1"/>
    <xf numFmtId="9" fontId="26" fillId="0" borderId="31" xfId="59" applyNumberFormat="1" applyFont="1" applyBorder="1"/>
    <xf numFmtId="10" fontId="2" fillId="0" borderId="31" xfId="47" applyNumberFormat="1" applyBorder="1"/>
    <xf numFmtId="2" fontId="2" fillId="0" borderId="0" xfId="59" applyNumberFormat="1"/>
    <xf numFmtId="9" fontId="26" fillId="0" borderId="20" xfId="59" applyNumberFormat="1" applyFont="1" applyBorder="1"/>
    <xf numFmtId="9" fontId="26" fillId="0" borderId="27" xfId="59" applyNumberFormat="1" applyFont="1" applyBorder="1"/>
    <xf numFmtId="10" fontId="2" fillId="0" borderId="27" xfId="47" applyNumberFormat="1" applyBorder="1"/>
    <xf numFmtId="171" fontId="2" fillId="0" borderId="0" xfId="59" applyNumberFormat="1"/>
    <xf numFmtId="176" fontId="2" fillId="0" borderId="25" xfId="47" applyNumberFormat="1" applyBorder="1"/>
    <xf numFmtId="176" fontId="2" fillId="0" borderId="0" xfId="47" applyNumberFormat="1" applyBorder="1"/>
    <xf numFmtId="176" fontId="2" fillId="0" borderId="33" xfId="47" applyNumberFormat="1" applyBorder="1"/>
    <xf numFmtId="173" fontId="2" fillId="0" borderId="24" xfId="47" applyNumberFormat="1" applyBorder="1"/>
    <xf numFmtId="170" fontId="31" fillId="0" borderId="17" xfId="59" applyNumberFormat="1" applyFont="1" applyBorder="1"/>
    <xf numFmtId="9" fontId="31" fillId="0" borderId="19" xfId="59" applyNumberFormat="1" applyFont="1" applyBorder="1"/>
    <xf numFmtId="175" fontId="31" fillId="0" borderId="19" xfId="59" applyNumberFormat="1" applyFont="1" applyBorder="1"/>
    <xf numFmtId="1" fontId="31" fillId="0" borderId="19" xfId="59" applyNumberFormat="1" applyFont="1" applyBorder="1"/>
    <xf numFmtId="0" fontId="31" fillId="0" borderId="21" xfId="59" applyFont="1" applyBorder="1" applyAlignment="1">
      <alignment horizontal="right"/>
    </xf>
    <xf numFmtId="175" fontId="31" fillId="0" borderId="31" xfId="59" applyNumberFormat="1" applyFont="1" applyBorder="1"/>
    <xf numFmtId="10" fontId="31" fillId="0" borderId="29" xfId="47" applyNumberFormat="1" applyFont="1" applyBorder="1"/>
    <xf numFmtId="175" fontId="31" fillId="0" borderId="27" xfId="59" applyNumberFormat="1" applyFont="1" applyBorder="1"/>
    <xf numFmtId="173" fontId="2" fillId="0" borderId="30" xfId="47" applyNumberFormat="1" applyBorder="1"/>
    <xf numFmtId="173" fontId="2" fillId="0" borderId="28" xfId="47" applyNumberFormat="1" applyBorder="1"/>
    <xf numFmtId="0" fontId="2" fillId="0" borderId="26" xfId="59" applyBorder="1" applyAlignment="1">
      <alignment horizontal="center"/>
    </xf>
    <xf numFmtId="0" fontId="2" fillId="0" borderId="32" xfId="59" applyBorder="1" applyAlignment="1">
      <alignment horizontal="center"/>
    </xf>
    <xf numFmtId="9" fontId="31" fillId="0" borderId="29" xfId="59" applyNumberFormat="1" applyFont="1" applyBorder="1" applyAlignment="1">
      <alignment horizontal="center"/>
    </xf>
    <xf numFmtId="9" fontId="31" fillId="0" borderId="31" xfId="59" applyNumberFormat="1" applyFont="1" applyBorder="1" applyAlignment="1">
      <alignment horizontal="center"/>
    </xf>
    <xf numFmtId="9" fontId="31" fillId="0" borderId="27" xfId="59" applyNumberFormat="1" applyFont="1" applyBorder="1" applyAlignment="1">
      <alignment horizontal="center"/>
    </xf>
    <xf numFmtId="0" fontId="2" fillId="0" borderId="15" xfId="59" applyBorder="1" applyAlignment="1">
      <alignment horizontal="center"/>
    </xf>
    <xf numFmtId="9" fontId="31" fillId="0" borderId="16" xfId="59" applyNumberFormat="1" applyFont="1" applyBorder="1" applyAlignment="1">
      <alignment horizontal="center"/>
    </xf>
    <xf numFmtId="9" fontId="31" fillId="0" borderId="18" xfId="59" applyNumberFormat="1" applyFont="1" applyBorder="1" applyAlignment="1">
      <alignment horizontal="center"/>
    </xf>
    <xf numFmtId="9" fontId="31" fillId="0" borderId="20" xfId="59" applyNumberFormat="1" applyFont="1" applyBorder="1" applyAlignment="1">
      <alignment horizontal="center"/>
    </xf>
    <xf numFmtId="0" fontId="2" fillId="0" borderId="14" xfId="59" applyBorder="1" applyAlignment="1">
      <alignment horizontal="center"/>
    </xf>
    <xf numFmtId="175" fontId="31" fillId="0" borderId="29" xfId="47" applyNumberFormat="1" applyFont="1" applyBorder="1"/>
    <xf numFmtId="173" fontId="2" fillId="0" borderId="31" xfId="47" applyNumberFormat="1" applyFont="1" applyBorder="1"/>
    <xf numFmtId="173" fontId="2" fillId="0" borderId="27" xfId="47" applyNumberFormat="1" applyFont="1" applyBorder="1"/>
    <xf numFmtId="170" fontId="31" fillId="0" borderId="19" xfId="47" applyNumberFormat="1" applyFont="1" applyBorder="1"/>
    <xf numFmtId="9" fontId="0" fillId="0" borderId="0" xfId="0" applyNumberFormat="1"/>
    <xf numFmtId="173" fontId="0" fillId="0" borderId="0" xfId="47" applyNumberFormat="1" applyFont="1"/>
    <xf numFmtId="0" fontId="30" fillId="0" borderId="22" xfId="58" applyFont="1" applyBorder="1" applyAlignment="1">
      <alignment horizontal="center"/>
    </xf>
    <xf numFmtId="0" fontId="30" fillId="0" borderId="23" xfId="58" applyFont="1" applyBorder="1" applyAlignment="1">
      <alignment horizontal="center"/>
    </xf>
    <xf numFmtId="0" fontId="2" fillId="0" borderId="33" xfId="59" applyBorder="1" applyAlignment="1">
      <alignment horizontal="center"/>
    </xf>
    <xf numFmtId="173" fontId="2" fillId="0" borderId="15" xfId="47" applyNumberFormat="1" applyBorder="1" applyAlignment="1">
      <alignment horizontal="center"/>
    </xf>
    <xf numFmtId="173" fontId="2" fillId="0" borderId="26" xfId="47" applyNumberFormat="1" applyBorder="1" applyAlignment="1">
      <alignment horizontal="center"/>
    </xf>
  </cellXfs>
  <cellStyles count="6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Data" xfId="28" xr:uid="{00000000-0005-0000-0000-00001C000000}"/>
    <cellStyle name="DataInput" xfId="29" xr:uid="{00000000-0005-0000-0000-00001D000000}"/>
    <cellStyle name="Explanatory Text" xfId="30" builtinId="53" customBuiltin="1"/>
    <cellStyle name="Good" xfId="31" builtinId="26" customBuiltin="1"/>
    <cellStyle name="Header" xfId="32" xr:uid="{00000000-0005-0000-0000-000020000000}"/>
    <cellStyle name="Heading 1" xfId="33" builtinId="16" customBuiltin="1"/>
    <cellStyle name="Heading 2" xfId="34" builtinId="17" customBuiltin="1"/>
    <cellStyle name="Heading 3" xfId="35" builtinId="18" customBuiltin="1"/>
    <cellStyle name="Heading 4" xfId="36" builtinId="19" customBuiltin="1"/>
    <cellStyle name="Input" xfId="37" builtinId="20" customBuiltin="1"/>
    <cellStyle name="Linked Cell" xfId="38" builtinId="24" customBuiltin="1"/>
    <cellStyle name="Milliers [0]_rating factor" xfId="39" xr:uid="{00000000-0005-0000-0000-000027000000}"/>
    <cellStyle name="Milliers_rating factor" xfId="40" xr:uid="{00000000-0005-0000-0000-000028000000}"/>
    <cellStyle name="Monétaire [0]_rating factor" xfId="41" xr:uid="{00000000-0005-0000-0000-000029000000}"/>
    <cellStyle name="Monétaire_rating factor" xfId="42" xr:uid="{00000000-0005-0000-0000-00002A000000}"/>
    <cellStyle name="Month" xfId="43" xr:uid="{00000000-0005-0000-0000-00002B000000}"/>
    <cellStyle name="Neutral" xfId="44" builtinId="28" customBuiltin="1"/>
    <cellStyle name="Normal" xfId="0" builtinId="0"/>
    <cellStyle name="Normal 2" xfId="56" xr:uid="{7E141DFB-6E75-417A-80F2-F5801EC03CAB}"/>
    <cellStyle name="Normal 3" xfId="57" xr:uid="{C9655644-F8A8-40B5-84DF-3F4AB4BC52C2}"/>
    <cellStyle name="Normal_BaseCorrelationExample" xfId="59" xr:uid="{23357D6A-4854-4D38-94C1-D86B85247F9F}"/>
    <cellStyle name="Normal_BasketAnalytical" xfId="58" xr:uid="{04C08B2A-6E06-454E-BCF5-C1462847657F}"/>
    <cellStyle name="Note" xfId="45" builtinId="10" customBuiltin="1"/>
    <cellStyle name="Output" xfId="46" builtinId="21" customBuiltin="1"/>
    <cellStyle name="Percent" xfId="47" builtinId="5"/>
    <cellStyle name="PricingProducts" xfId="48" xr:uid="{00000000-0005-0000-0000-000034000000}"/>
    <cellStyle name="Style 1" xfId="49" xr:uid="{00000000-0005-0000-0000-000035000000}"/>
    <cellStyle name="TIMES" xfId="50" xr:uid="{00000000-0005-0000-0000-000036000000}"/>
    <cellStyle name="Title" xfId="51" builtinId="15" customBuiltin="1"/>
    <cellStyle name="Total" xfId="52" builtinId="25" customBuiltin="1"/>
    <cellStyle name="Warning Text" xfId="53" builtinId="11" customBuiltin="1"/>
    <cellStyle name="WASP_PLStyle" xfId="54" xr:uid="{00000000-0005-0000-0000-00003A000000}"/>
    <cellStyle name="Year" xfId="55" xr:uid="{00000000-0005-0000-0000-00003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Merton!$G$8</c:f>
              <c:strCache>
                <c:ptCount val="1"/>
                <c:pt idx="0">
                  <c:v>Equity </c:v>
                </c:pt>
              </c:strCache>
            </c:strRef>
          </c:tx>
          <c:spPr>
            <a:ln w="19050" cap="rnd">
              <a:solidFill>
                <a:schemeClr val="accent1"/>
              </a:solidFill>
              <a:prstDash val="solid"/>
              <a:round/>
            </a:ln>
            <a:effectLst/>
          </c:spPr>
          <c:marker>
            <c:symbol val="none"/>
          </c:marker>
          <c:xVal>
            <c:numRef>
              <c:f>Merton!$F$9:$F$59</c:f>
              <c:numCache>
                <c:formatCode>General</c:formatCode>
                <c:ptCount val="51"/>
                <c:pt idx="0">
                  <c:v>1E-4</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numCache>
            </c:numRef>
          </c:xVal>
          <c:yVal>
            <c:numRef>
              <c:f>Merton!$G$9:$G$59</c:f>
              <c:numCache>
                <c:formatCode>General</c:formatCode>
                <c:ptCount val="51"/>
                <c:pt idx="0">
                  <c:v>8.5875500530717601E-94</c:v>
                </c:pt>
                <c:pt idx="1">
                  <c:v>5.9235837979759189E-5</c:v>
                </c:pt>
                <c:pt idx="2">
                  <c:v>5.506717965968938E-3</c:v>
                </c:pt>
                <c:pt idx="3">
                  <c:v>5.0319495949606302E-2</c:v>
                </c:pt>
                <c:pt idx="4">
                  <c:v>0.20022589005368929</c:v>
                </c:pt>
                <c:pt idx="5">
                  <c:v>0.52675637992876778</c:v>
                </c:pt>
                <c:pt idx="6">
                  <c:v>1.0879310642637257</c:v>
                </c:pt>
                <c:pt idx="7">
                  <c:v>1.9221456277928191</c:v>
                </c:pt>
                <c:pt idx="8">
                  <c:v>3.0494079065190647</c:v>
                </c:pt>
                <c:pt idx="9">
                  <c:v>4.4751830701618829</c:v>
                </c:pt>
                <c:pt idx="10">
                  <c:v>6.194515402052474</c:v>
                </c:pt>
                <c:pt idx="11">
                  <c:v>8.1955464672093914</c:v>
                </c:pt>
                <c:pt idx="12">
                  <c:v>10.462226442736149</c:v>
                </c:pt>
                <c:pt idx="13">
                  <c:v>12.976281951194032</c:v>
                </c:pt>
                <c:pt idx="14">
                  <c:v>15.718583315719105</c:v>
                </c:pt>
                <c:pt idx="15">
                  <c:v>18.670057742760232</c:v>
                </c:pt>
                <c:pt idx="16">
                  <c:v>21.812272627205957</c:v>
                </c:pt>
                <c:pt idx="17">
                  <c:v>25.127785829931376</c:v>
                </c:pt>
                <c:pt idx="18">
                  <c:v>28.600335110678721</c:v>
                </c:pt>
                <c:pt idx="19">
                  <c:v>32.214919033311659</c:v>
                </c:pt>
                <c:pt idx="20">
                  <c:v>35.957806538443229</c:v>
                </c:pt>
                <c:pt idx="21">
                  <c:v>39.816501232420762</c:v>
                </c:pt>
                <c:pt idx="22">
                  <c:v>43.779678390410822</c:v>
                </c:pt>
                <c:pt idx="23">
                  <c:v>47.83710693489958</c:v>
                </c:pt>
                <c:pt idx="24">
                  <c:v>51.979564605557101</c:v>
                </c:pt>
                <c:pt idx="25">
                  <c:v>56.198751708161701</c:v>
                </c:pt>
                <c:pt idx="26">
                  <c:v>60.487206869319472</c:v>
                </c:pt>
                <c:pt idx="27">
                  <c:v>64.838226876355563</c:v>
                </c:pt>
                <c:pt idx="28">
                  <c:v>69.245791766050047</c:v>
                </c:pt>
                <c:pt idx="29">
                  <c:v>73.704495712316685</c:v>
                </c:pt>
                <c:pt idx="30">
                  <c:v>78.209483859713572</c:v>
                </c:pt>
                <c:pt idx="31">
                  <c:v>82.756394992080175</c:v>
                </c:pt>
                <c:pt idx="32">
                  <c:v>87.341309768048063</c:v>
                </c:pt>
                <c:pt idx="33">
                  <c:v>91.960704165713395</c:v>
                </c:pt>
                <c:pt idx="34">
                  <c:v>96.611407735032515</c:v>
                </c:pt>
                <c:pt idx="35">
                  <c:v>101.29056624294003</c:v>
                </c:pt>
                <c:pt idx="36">
                  <c:v>105.99560830199917</c:v>
                </c:pt>
                <c:pt idx="37">
                  <c:v>110.72421559114454</c:v>
                </c:pt>
                <c:pt idx="38">
                  <c:v>115.4742963016997</c:v>
                </c:pt>
                <c:pt idx="39">
                  <c:v>120.24396146992675</c:v>
                </c:pt>
                <c:pt idx="40">
                  <c:v>125.03150388662996</c:v>
                </c:pt>
                <c:pt idx="41">
                  <c:v>129.83537930332869</c:v>
                </c:pt>
                <c:pt idx="42">
                  <c:v>134.65418968232927</c:v>
                </c:pt>
                <c:pt idx="43">
                  <c:v>139.48666826413074</c:v>
                </c:pt>
                <c:pt idx="44">
                  <c:v>144.33166624972705</c:v>
                </c:pt>
                <c:pt idx="45">
                  <c:v>149.18814091741194</c:v>
                </c:pt>
                <c:pt idx="46">
                  <c:v>154.05514501366542</c:v>
                </c:pt>
                <c:pt idx="47">
                  <c:v>158.93181727567929</c:v>
                </c:pt>
                <c:pt idx="48">
                  <c:v>163.81737395918188</c:v>
                </c:pt>
                <c:pt idx="49">
                  <c:v>168.71110125959223</c:v>
                </c:pt>
                <c:pt idx="50">
                  <c:v>173.61234852731727</c:v>
                </c:pt>
              </c:numCache>
            </c:numRef>
          </c:yVal>
          <c:smooth val="1"/>
          <c:extLst>
            <c:ext xmlns:c16="http://schemas.microsoft.com/office/drawing/2014/chart" uri="{C3380CC4-5D6E-409C-BE32-E72D297353CC}">
              <c16:uniqueId val="{00000000-D610-4D1A-8A11-7E5980F6F050}"/>
            </c:ext>
          </c:extLst>
        </c:ser>
        <c:ser>
          <c:idx val="1"/>
          <c:order val="1"/>
          <c:tx>
            <c:strRef>
              <c:f>Merton!$H$8</c:f>
              <c:strCache>
                <c:ptCount val="1"/>
                <c:pt idx="0">
                  <c:v>Debt</c:v>
                </c:pt>
              </c:strCache>
            </c:strRef>
          </c:tx>
          <c:spPr>
            <a:ln w="19050" cap="rnd">
              <a:solidFill>
                <a:srgbClr val="C00000"/>
              </a:solidFill>
              <a:prstDash val="solid"/>
              <a:round/>
            </a:ln>
            <a:effectLst/>
          </c:spPr>
          <c:marker>
            <c:symbol val="none"/>
          </c:marker>
          <c:xVal>
            <c:numRef>
              <c:f>Merton!$F$9:$F$59</c:f>
              <c:numCache>
                <c:formatCode>General</c:formatCode>
                <c:ptCount val="51"/>
                <c:pt idx="0">
                  <c:v>1E-4</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numCache>
            </c:numRef>
          </c:xVal>
          <c:yVal>
            <c:numRef>
              <c:f>Merton!$H$9:$H$59</c:f>
              <c:numCache>
                <c:formatCode>General</c:formatCode>
                <c:ptCount val="51"/>
                <c:pt idx="0">
                  <c:v>1E-4</c:v>
                </c:pt>
                <c:pt idx="1">
                  <c:v>4.9999407641620204</c:v>
                </c:pt>
                <c:pt idx="2">
                  <c:v>9.9944932820340302</c:v>
                </c:pt>
                <c:pt idx="3">
                  <c:v>14.949680504050393</c:v>
                </c:pt>
                <c:pt idx="4">
                  <c:v>19.799774109946309</c:v>
                </c:pt>
                <c:pt idx="5">
                  <c:v>24.473243620071234</c:v>
                </c:pt>
                <c:pt idx="6">
                  <c:v>28.912068935736276</c:v>
                </c:pt>
                <c:pt idx="7">
                  <c:v>33.077854372207184</c:v>
                </c:pt>
                <c:pt idx="8">
                  <c:v>36.950592093480935</c:v>
                </c:pt>
                <c:pt idx="9">
                  <c:v>40.524816929838117</c:v>
                </c:pt>
                <c:pt idx="10">
                  <c:v>43.805484597947526</c:v>
                </c:pt>
                <c:pt idx="11">
                  <c:v>46.80445353279061</c:v>
                </c:pt>
                <c:pt idx="12">
                  <c:v>49.537773557263847</c:v>
                </c:pt>
                <c:pt idx="13">
                  <c:v>52.023718048805968</c:v>
                </c:pt>
                <c:pt idx="14">
                  <c:v>54.281416684280899</c:v>
                </c:pt>
                <c:pt idx="15">
                  <c:v>56.329942257239765</c:v>
                </c:pt>
                <c:pt idx="16">
                  <c:v>58.187727372794043</c:v>
                </c:pt>
                <c:pt idx="17">
                  <c:v>59.872214170068624</c:v>
                </c:pt>
                <c:pt idx="18">
                  <c:v>61.399664889321279</c:v>
                </c:pt>
                <c:pt idx="19">
                  <c:v>62.785080966688341</c:v>
                </c:pt>
                <c:pt idx="20">
                  <c:v>64.042193461556764</c:v>
                </c:pt>
                <c:pt idx="21">
                  <c:v>65.183498767579238</c:v>
                </c:pt>
                <c:pt idx="22">
                  <c:v>66.220321609589178</c:v>
                </c:pt>
                <c:pt idx="23">
                  <c:v>67.16289306510042</c:v>
                </c:pt>
                <c:pt idx="24">
                  <c:v>68.020435394442899</c:v>
                </c:pt>
                <c:pt idx="25">
                  <c:v>68.801248291838306</c:v>
                </c:pt>
                <c:pt idx="26">
                  <c:v>69.512793130680535</c:v>
                </c:pt>
                <c:pt idx="27">
                  <c:v>70.161773123644437</c:v>
                </c:pt>
                <c:pt idx="28">
                  <c:v>70.754208233949953</c:v>
                </c:pt>
                <c:pt idx="29">
                  <c:v>71.295504287683315</c:v>
                </c:pt>
                <c:pt idx="30">
                  <c:v>71.790516140286428</c:v>
                </c:pt>
                <c:pt idx="31">
                  <c:v>72.243605007919825</c:v>
                </c:pt>
                <c:pt idx="32">
                  <c:v>72.658690231951937</c:v>
                </c:pt>
                <c:pt idx="33">
                  <c:v>73.039295834286605</c:v>
                </c:pt>
                <c:pt idx="34">
                  <c:v>73.388592264967485</c:v>
                </c:pt>
                <c:pt idx="35">
                  <c:v>73.709433757059969</c:v>
                </c:pt>
                <c:pt idx="36">
                  <c:v>74.004391698000831</c:v>
                </c:pt>
                <c:pt idx="37">
                  <c:v>74.275784408855458</c:v>
                </c:pt>
                <c:pt idx="38">
                  <c:v>74.525703698300305</c:v>
                </c:pt>
                <c:pt idx="39">
                  <c:v>74.756038530073255</c:v>
                </c:pt>
                <c:pt idx="40">
                  <c:v>74.968496113370037</c:v>
                </c:pt>
                <c:pt idx="41">
                  <c:v>75.164620696671307</c:v>
                </c:pt>
                <c:pt idx="42">
                  <c:v>75.345810317670725</c:v>
                </c:pt>
                <c:pt idx="43">
                  <c:v>75.513331735869258</c:v>
                </c:pt>
                <c:pt idx="44">
                  <c:v>75.66833375027295</c:v>
                </c:pt>
                <c:pt idx="45">
                  <c:v>75.811859082588057</c:v>
                </c:pt>
                <c:pt idx="46">
                  <c:v>75.944854986334576</c:v>
                </c:pt>
                <c:pt idx="47">
                  <c:v>76.068182724320707</c:v>
                </c:pt>
                <c:pt idx="48">
                  <c:v>76.182626040818121</c:v>
                </c:pt>
                <c:pt idx="49">
                  <c:v>76.288898740407774</c:v>
                </c:pt>
                <c:pt idx="50">
                  <c:v>76.387651472682734</c:v>
                </c:pt>
              </c:numCache>
            </c:numRef>
          </c:yVal>
          <c:smooth val="0"/>
          <c:extLst>
            <c:ext xmlns:c16="http://schemas.microsoft.com/office/drawing/2014/chart" uri="{C3380CC4-5D6E-409C-BE32-E72D297353CC}">
              <c16:uniqueId val="{00000001-D610-4D1A-8A11-7E5980F6F050}"/>
            </c:ext>
          </c:extLst>
        </c:ser>
        <c:dLbls>
          <c:showLegendKey val="0"/>
          <c:showVal val="0"/>
          <c:showCatName val="0"/>
          <c:showSerName val="0"/>
          <c:showPercent val="0"/>
          <c:showBubbleSize val="0"/>
        </c:dLbls>
        <c:axId val="211774895"/>
        <c:axId val="211775311"/>
      </c:scatterChart>
      <c:valAx>
        <c:axId val="211774895"/>
        <c:scaling>
          <c:orientation val="minMax"/>
          <c:max val="25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Firm value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75311"/>
        <c:crosses val="autoZero"/>
        <c:crossBetween val="midCat"/>
      </c:valAx>
      <c:valAx>
        <c:axId val="211775311"/>
        <c:scaling>
          <c:orientation val="minMax"/>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Security value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74895"/>
        <c:crosses val="autoZero"/>
        <c:crossBetween val="midCat"/>
      </c:valAx>
      <c:spPr>
        <a:noFill/>
        <a:ln>
          <a:solidFill>
            <a:schemeClr val="tx1">
              <a:lumMod val="50000"/>
              <a:lumOff val="50000"/>
            </a:schemeClr>
          </a:solidFill>
        </a:ln>
        <a:effectLst/>
      </c:spPr>
    </c:plotArea>
    <c:legend>
      <c:legendPos val="t"/>
      <c:overlay val="0"/>
      <c:spPr>
        <a:noFill/>
        <a:ln>
          <a:solidFill>
            <a:schemeClr val="tx1">
              <a:lumMod val="50000"/>
              <a:lumOff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Merton!$K$8</c:f>
              <c:strCache>
                <c:ptCount val="1"/>
                <c:pt idx="0">
                  <c:v>Credit spread</c:v>
                </c:pt>
              </c:strCache>
            </c:strRef>
          </c:tx>
          <c:spPr>
            <a:ln w="19050" cap="rnd">
              <a:solidFill>
                <a:schemeClr val="accent1"/>
              </a:solidFill>
              <a:prstDash val="solid"/>
              <a:round/>
            </a:ln>
            <a:effectLst/>
          </c:spPr>
          <c:marker>
            <c:symbol val="none"/>
          </c:marker>
          <c:xVal>
            <c:numRef>
              <c:f>Merton!$J$9:$J$49</c:f>
              <c:numCache>
                <c:formatCode>General</c:formatCode>
                <c:ptCount val="41"/>
                <c:pt idx="0">
                  <c:v>0.01</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Merton!$K$9:$K$49</c:f>
              <c:numCache>
                <c:formatCode>General</c:formatCode>
                <c:ptCount val="41"/>
                <c:pt idx="1">
                  <c:v>2.1331043767224907E-7</c:v>
                </c:pt>
                <c:pt idx="2">
                  <c:v>5.5448118879784382E-5</c:v>
                </c:pt>
                <c:pt idx="3">
                  <c:v>3.6199679147814724E-4</c:v>
                </c:pt>
                <c:pt idx="4">
                  <c:v>9.2727304026792934E-4</c:v>
                </c:pt>
                <c:pt idx="5">
                  <c:v>1.6270810564177247E-3</c:v>
                </c:pt>
                <c:pt idx="6">
                  <c:v>2.3595381971983883E-3</c:v>
                </c:pt>
                <c:pt idx="7">
                  <c:v>3.0668299244436138E-3</c:v>
                </c:pt>
                <c:pt idx="8">
                  <c:v>3.7216065197522193E-3</c:v>
                </c:pt>
                <c:pt idx="9">
                  <c:v>4.3137481311171276E-3</c:v>
                </c:pt>
                <c:pt idx="10">
                  <c:v>4.8420797726509935E-3</c:v>
                </c:pt>
                <c:pt idx="11">
                  <c:v>5.3097446325529414E-3</c:v>
                </c:pt>
                <c:pt idx="12">
                  <c:v>5.7217349115483984E-3</c:v>
                </c:pt>
                <c:pt idx="13">
                  <c:v>6.0836127315862867E-3</c:v>
                </c:pt>
                <c:pt idx="14">
                  <c:v>6.4008718920439177E-3</c:v>
                </c:pt>
                <c:pt idx="15">
                  <c:v>6.6786407135728636E-3</c:v>
                </c:pt>
                <c:pt idx="16">
                  <c:v>6.9215642227168847E-3</c:v>
                </c:pt>
                <c:pt idx="17">
                  <c:v>7.1337785948609577E-3</c:v>
                </c:pt>
                <c:pt idx="18">
                  <c:v>7.3189310247931769E-3</c:v>
                </c:pt>
                <c:pt idx="19">
                  <c:v>7.4802199652878364E-3</c:v>
                </c:pt>
                <c:pt idx="20">
                  <c:v>7.6204425039986092E-3</c:v>
                </c:pt>
                <c:pt idx="21">
                  <c:v>7.7420420951608742E-3</c:v>
                </c:pt>
                <c:pt idx="22">
                  <c:v>7.8471533701849477E-3</c:v>
                </c:pt>
                <c:pt idx="23">
                  <c:v>7.9376426436125001E-3</c:v>
                </c:pt>
                <c:pt idx="24">
                  <c:v>8.0151437315709468E-3</c:v>
                </c:pt>
                <c:pt idx="25">
                  <c:v>8.0810892079518862E-3</c:v>
                </c:pt>
                <c:pt idx="26">
                  <c:v>8.1367374609873141E-3</c:v>
                </c:pt>
                <c:pt idx="27">
                  <c:v>8.183196003722552E-3</c:v>
                </c:pt>
                <c:pt idx="28">
                  <c:v>8.22144150550542E-3</c:v>
                </c:pt>
                <c:pt idx="29">
                  <c:v>8.2523369867724735E-3</c:v>
                </c:pt>
                <c:pt idx="30">
                  <c:v>8.2766465775116448E-3</c:v>
                </c:pt>
                <c:pt idx="31">
                  <c:v>8.2950481924072596E-3</c:v>
                </c:pt>
                <c:pt idx="32">
                  <c:v>8.3081444288564486E-3</c:v>
                </c:pt>
                <c:pt idx="33">
                  <c:v>8.3164719507008381E-3</c:v>
                </c:pt>
                <c:pt idx="34">
                  <c:v>8.3205095818367214E-3</c:v>
                </c:pt>
                <c:pt idx="35">
                  <c:v>8.320685300110181E-3</c:v>
                </c:pt>
                <c:pt idx="36">
                  <c:v>8.3173822928616081E-3</c:v>
                </c:pt>
                <c:pt idx="37">
                  <c:v>8.3109442107264994E-3</c:v>
                </c:pt>
                <c:pt idx="38">
                  <c:v>8.3016797353185519E-3</c:v>
                </c:pt>
                <c:pt idx="39">
                  <c:v>8.2898665587049052E-3</c:v>
                </c:pt>
                <c:pt idx="40">
                  <c:v>8.2757548576585568E-3</c:v>
                </c:pt>
              </c:numCache>
            </c:numRef>
          </c:yVal>
          <c:smooth val="1"/>
          <c:extLst>
            <c:ext xmlns:c16="http://schemas.microsoft.com/office/drawing/2014/chart" uri="{C3380CC4-5D6E-409C-BE32-E72D297353CC}">
              <c16:uniqueId val="{00000000-A74B-4277-B87E-04DA1B9C7174}"/>
            </c:ext>
          </c:extLst>
        </c:ser>
        <c:dLbls>
          <c:showLegendKey val="0"/>
          <c:showVal val="0"/>
          <c:showCatName val="0"/>
          <c:showSerName val="0"/>
          <c:showPercent val="0"/>
          <c:showBubbleSize val="0"/>
        </c:dLbls>
        <c:axId val="211774895"/>
        <c:axId val="211775311"/>
      </c:scatterChart>
      <c:valAx>
        <c:axId val="211774895"/>
        <c:scaling>
          <c:orientation val="minMax"/>
          <c:max val="1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Maturity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75311"/>
        <c:crosses val="autoZero"/>
        <c:crossBetween val="midCat"/>
      </c:valAx>
      <c:valAx>
        <c:axId val="211775311"/>
        <c:scaling>
          <c:orientation val="minMax"/>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Credit spread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74895"/>
        <c:crosses val="autoZero"/>
        <c:crossBetween val="midCat"/>
      </c:valAx>
      <c:spPr>
        <a:noFill/>
        <a:ln>
          <a:solidFill>
            <a:schemeClr val="tx1">
              <a:lumMod val="50000"/>
              <a:lumOff val="5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Counterparty risk</c:v>
          </c:tx>
          <c:spPr>
            <a:solidFill>
              <a:schemeClr val="accent1"/>
            </a:solidFill>
            <a:ln>
              <a:noFill/>
            </a:ln>
            <a:effectLst/>
          </c:spPr>
          <c:val>
            <c:numRef>
              <c:f>CDSCntrptyRisk!$B$30:$C$30</c:f>
              <c:numCache>
                <c:formatCode>0.00</c:formatCode>
                <c:ptCount val="2"/>
                <c:pt idx="0">
                  <c:v>2.4E-2</c:v>
                </c:pt>
                <c:pt idx="1">
                  <c:v>2.4E-2</c:v>
                </c:pt>
              </c:numCache>
            </c:numRef>
          </c:val>
          <c:extLst>
            <c:ext xmlns:c16="http://schemas.microsoft.com/office/drawing/2014/chart" uri="{C3380CC4-5D6E-409C-BE32-E72D297353CC}">
              <c16:uniqueId val="{00000000-6875-403F-9417-7DDFE0FDAA13}"/>
            </c:ext>
          </c:extLst>
        </c:ser>
        <c:ser>
          <c:idx val="1"/>
          <c:order val="1"/>
          <c:tx>
            <c:v>Fair CDS premium</c:v>
          </c:tx>
          <c:spPr>
            <a:solidFill>
              <a:schemeClr val="accent2"/>
            </a:solidFill>
            <a:ln>
              <a:noFill/>
            </a:ln>
            <a:effectLst/>
          </c:spPr>
          <c:val>
            <c:numRef>
              <c:f>CDSCntrptyRisk!$B$31:$C$31</c:f>
              <c:numCache>
                <c:formatCode>0.00</c:formatCode>
                <c:ptCount val="2"/>
                <c:pt idx="0">
                  <c:v>2.3001231347183949E-2</c:v>
                </c:pt>
                <c:pt idx="1">
                  <c:v>2.3001231347183949E-2</c:v>
                </c:pt>
              </c:numCache>
            </c:numRef>
          </c:val>
          <c:extLst>
            <c:ext xmlns:c16="http://schemas.microsoft.com/office/drawing/2014/chart" uri="{C3380CC4-5D6E-409C-BE32-E72D297353CC}">
              <c16:uniqueId val="{00000001-6875-403F-9417-7DDFE0FDAA13}"/>
            </c:ext>
          </c:extLst>
        </c:ser>
        <c:dLbls>
          <c:showLegendKey val="0"/>
          <c:showVal val="0"/>
          <c:showCatName val="0"/>
          <c:showSerName val="0"/>
          <c:showPercent val="0"/>
          <c:showBubbleSize val="0"/>
        </c:dLbls>
        <c:axId val="775195408"/>
        <c:axId val="775189176"/>
      </c:areaChart>
      <c:catAx>
        <c:axId val="77519540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189176"/>
        <c:crosses val="autoZero"/>
        <c:auto val="1"/>
        <c:lblAlgn val="ctr"/>
        <c:lblOffset val="100"/>
        <c:noMultiLvlLbl val="0"/>
      </c:catAx>
      <c:valAx>
        <c:axId val="77518917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Credit spread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195408"/>
        <c:crosses val="autoZero"/>
        <c:crossBetween val="midCat"/>
      </c:valAx>
      <c:spPr>
        <a:noFill/>
        <a:ln>
          <a:noFill/>
        </a:ln>
        <a:effectLst/>
      </c:spPr>
    </c:plotArea>
    <c:legend>
      <c:legendPos val="t"/>
      <c:overlay val="0"/>
      <c:spPr>
        <a:noFill/>
        <a:ln>
          <a:solidFill>
            <a:schemeClr val="tx1">
              <a:lumMod val="50000"/>
              <a:lumOff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'Gaussian Copula Model'!$P$11</c:f>
              <c:strCache>
                <c:ptCount val="1"/>
                <c:pt idx="0">
                  <c:v>Market</c:v>
                </c:pt>
              </c:strCache>
            </c:strRef>
          </c:tx>
          <c:spPr>
            <a:solidFill>
              <a:schemeClr val="accent1"/>
            </a:solidFill>
            <a:ln>
              <a:noFill/>
            </a:ln>
            <a:effectLst/>
          </c:spPr>
          <c:invertIfNegative val="0"/>
          <c:cat>
            <c:strRef>
              <c:f>'Gaussian Copula Model'!$G$12:$G$17</c:f>
              <c:strCache>
                <c:ptCount val="6"/>
                <c:pt idx="0">
                  <c:v>[0-3%]</c:v>
                </c:pt>
                <c:pt idx="1">
                  <c:v>[3-6%]</c:v>
                </c:pt>
                <c:pt idx="2">
                  <c:v>[6-9%]</c:v>
                </c:pt>
                <c:pt idx="3">
                  <c:v>[9-12%]</c:v>
                </c:pt>
                <c:pt idx="4">
                  <c:v>[12-22%]</c:v>
                </c:pt>
                <c:pt idx="5">
                  <c:v>[22-100%]</c:v>
                </c:pt>
              </c:strCache>
            </c:strRef>
          </c:cat>
          <c:val>
            <c:numRef>
              <c:f>'Gaussian Copula Model'!$P$12:$P$17</c:f>
              <c:numCache>
                <c:formatCode>0.0</c:formatCode>
                <c:ptCount val="6"/>
                <c:pt idx="0">
                  <c:v>1259.7291371312813</c:v>
                </c:pt>
                <c:pt idx="1">
                  <c:v>156.30000000000001</c:v>
                </c:pt>
                <c:pt idx="2">
                  <c:v>84.9</c:v>
                </c:pt>
                <c:pt idx="3">
                  <c:v>60.5</c:v>
                </c:pt>
                <c:pt idx="4">
                  <c:v>34.299999999999997</c:v>
                </c:pt>
                <c:pt idx="5">
                  <c:v>14.9</c:v>
                </c:pt>
              </c:numCache>
            </c:numRef>
          </c:val>
          <c:extLst>
            <c:ext xmlns:c16="http://schemas.microsoft.com/office/drawing/2014/chart" uri="{C3380CC4-5D6E-409C-BE32-E72D297353CC}">
              <c16:uniqueId val="{00000000-FE8C-4050-BE79-AAB8169BFC67}"/>
            </c:ext>
          </c:extLst>
        </c:ser>
        <c:ser>
          <c:idx val="1"/>
          <c:order val="1"/>
          <c:tx>
            <c:strRef>
              <c:f>'Gaussian Copula Model'!$Q$11</c:f>
              <c:strCache>
                <c:ptCount val="1"/>
                <c:pt idx="0">
                  <c:v>Model</c:v>
                </c:pt>
              </c:strCache>
            </c:strRef>
          </c:tx>
          <c:spPr>
            <a:solidFill>
              <a:schemeClr val="accent2"/>
            </a:solidFill>
            <a:ln>
              <a:noFill/>
            </a:ln>
            <a:effectLst/>
          </c:spPr>
          <c:invertIfNegative val="0"/>
          <c:cat>
            <c:strRef>
              <c:f>'Gaussian Copula Model'!$G$12:$G$17</c:f>
              <c:strCache>
                <c:ptCount val="6"/>
                <c:pt idx="0">
                  <c:v>[0-3%]</c:v>
                </c:pt>
                <c:pt idx="1">
                  <c:v>[3-6%]</c:v>
                </c:pt>
                <c:pt idx="2">
                  <c:v>[6-9%]</c:v>
                </c:pt>
                <c:pt idx="3">
                  <c:v>[9-12%]</c:v>
                </c:pt>
                <c:pt idx="4">
                  <c:v>[12-22%]</c:v>
                </c:pt>
                <c:pt idx="5">
                  <c:v>[22-100%]</c:v>
                </c:pt>
              </c:strCache>
            </c:strRef>
          </c:cat>
          <c:val>
            <c:numRef>
              <c:f>'Gaussian Copula Model'!$Q$12:$Q$17</c:f>
              <c:numCache>
                <c:formatCode>0.0</c:formatCode>
                <c:ptCount val="6"/>
                <c:pt idx="0">
                  <c:v>1296.1507961723134</c:v>
                </c:pt>
                <c:pt idx="1">
                  <c:v>414.22888751038568</c:v>
                </c:pt>
                <c:pt idx="2">
                  <c:v>190.51284809469368</c:v>
                </c:pt>
                <c:pt idx="3">
                  <c:v>98.979127574701508</c:v>
                </c:pt>
                <c:pt idx="4">
                  <c:v>30.760360130411748</c:v>
                </c:pt>
                <c:pt idx="5">
                  <c:v>0.63628682669695047</c:v>
                </c:pt>
              </c:numCache>
            </c:numRef>
          </c:val>
          <c:extLst>
            <c:ext xmlns:c16="http://schemas.microsoft.com/office/drawing/2014/chart" uri="{C3380CC4-5D6E-409C-BE32-E72D297353CC}">
              <c16:uniqueId val="{00000003-FE8C-4050-BE79-AAB8169BFC67}"/>
            </c:ext>
          </c:extLst>
        </c:ser>
        <c:dLbls>
          <c:showLegendKey val="0"/>
          <c:showVal val="0"/>
          <c:showCatName val="0"/>
          <c:showSerName val="0"/>
          <c:showPercent val="0"/>
          <c:showBubbleSize val="0"/>
        </c:dLbls>
        <c:gapWidth val="219"/>
        <c:overlap val="-27"/>
        <c:axId val="696876623"/>
        <c:axId val="696874959"/>
      </c:barChart>
      <c:catAx>
        <c:axId val="696876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874959"/>
        <c:crossesAt val="1.0000000000000002E-2"/>
        <c:auto val="1"/>
        <c:lblAlgn val="ctr"/>
        <c:lblOffset val="100"/>
        <c:noMultiLvlLbl val="0"/>
      </c:catAx>
      <c:valAx>
        <c:axId val="696874959"/>
        <c:scaling>
          <c:logBase val="10"/>
          <c:orientation val="minMax"/>
          <c:min val="1.0000000000000002E-2"/>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876623"/>
        <c:crosses val="autoZero"/>
        <c:crossBetween val="between"/>
      </c:valAx>
      <c:spPr>
        <a:noFill/>
        <a:ln>
          <a:noFill/>
        </a:ln>
        <a:effectLst/>
      </c:spPr>
    </c:plotArea>
    <c:legend>
      <c:legendPos val="t"/>
      <c:overlay val="0"/>
      <c:spPr>
        <a:noFill/>
        <a:ln>
          <a:solidFill>
            <a:schemeClr val="tx1">
              <a:lumMod val="50000"/>
              <a:lumOff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BaseCorrelation!$N$10</c:f>
              <c:strCache>
                <c:ptCount val="1"/>
                <c:pt idx="0">
                  <c:v>BC Curve</c:v>
                </c:pt>
              </c:strCache>
            </c:strRef>
          </c:tx>
          <c:spPr>
            <a:ln w="19050" cap="rnd">
              <a:solidFill>
                <a:schemeClr val="accent1"/>
              </a:solidFill>
              <a:round/>
            </a:ln>
            <a:effectLst/>
          </c:spPr>
          <c:marker>
            <c:symbol val="none"/>
          </c:marker>
          <c:xVal>
            <c:numRef>
              <c:f>BaseCorrelation!$L$11:$L$41</c:f>
              <c:numCache>
                <c:formatCode>0%</c:formatCode>
                <c:ptCount val="3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numCache>
            </c:numRef>
          </c:xVal>
          <c:yVal>
            <c:numRef>
              <c:f>BaseCorrelation!$N$11:$N$41</c:f>
              <c:numCache>
                <c:formatCode>0.0%</c:formatCode>
                <c:ptCount val="31"/>
                <c:pt idx="0">
                  <c:v>7.5404316186904907E-2</c:v>
                </c:pt>
                <c:pt idx="1">
                  <c:v>0.10813827188013911</c:v>
                </c:pt>
                <c:pt idx="2">
                  <c:v>0.14327601848933685</c:v>
                </c:pt>
                <c:pt idx="3">
                  <c:v>0.17961563816447815</c:v>
                </c:pt>
                <c:pt idx="4">
                  <c:v>0.2159552577590266</c:v>
                </c:pt>
                <c:pt idx="5">
                  <c:v>0.25109298922528456</c:v>
                </c:pt>
                <c:pt idx="6">
                  <c:v>0.28382693443418566</c:v>
                </c:pt>
                <c:pt idx="7">
                  <c:v>0.31329996205593752</c:v>
                </c:pt>
                <c:pt idx="8">
                  <c:v>0.34003369736835359</c:v>
                </c:pt>
                <c:pt idx="9">
                  <c:v>0.36489454656430376</c:v>
                </c:pt>
                <c:pt idx="10">
                  <c:v>0.38861804173357972</c:v>
                </c:pt>
                <c:pt idx="11">
                  <c:v>0.41141591686559648</c:v>
                </c:pt>
                <c:pt idx="12">
                  <c:v>0.43336914661944109</c:v>
                </c:pt>
                <c:pt idx="13">
                  <c:v>0.45454557104129206</c:v>
                </c:pt>
                <c:pt idx="14">
                  <c:v>0.47496101958669074</c:v>
                </c:pt>
                <c:pt idx="15">
                  <c:v>0.4946183076566133</c:v>
                </c:pt>
                <c:pt idx="16">
                  <c:v>0.51352016261078015</c:v>
                </c:pt>
                <c:pt idx="17">
                  <c:v>0.53166942940590334</c:v>
                </c:pt>
                <c:pt idx="18">
                  <c:v>0.54906884940377065</c:v>
                </c:pt>
                <c:pt idx="19">
                  <c:v>0.56572122339251429</c:v>
                </c:pt>
                <c:pt idx="20">
                  <c:v>0.58162934470968497</c:v>
                </c:pt>
                <c:pt idx="21">
                  <c:v>0.59679598424909663</c:v>
                </c:pt>
                <c:pt idx="22">
                  <c:v>0.6112239385632211</c:v>
                </c:pt>
                <c:pt idx="23">
                  <c:v>0.62491890629721525</c:v>
                </c:pt>
                <c:pt idx="24">
                  <c:v>0.63789833244218874</c:v>
                </c:pt>
                <c:pt idx="25">
                  <c:v>0.6501824553552058</c:v>
                </c:pt>
                <c:pt idx="26">
                  <c:v>0.66179157584362591</c:v>
                </c:pt>
                <c:pt idx="27">
                  <c:v>0.67274617966959327</c:v>
                </c:pt>
                <c:pt idx="28">
                  <c:v>0.68306643637425346</c:v>
                </c:pt>
                <c:pt idx="29">
                  <c:v>0.69277271104104254</c:v>
                </c:pt>
                <c:pt idx="30">
                  <c:v>0.70188534456556606</c:v>
                </c:pt>
              </c:numCache>
            </c:numRef>
          </c:yVal>
          <c:smooth val="1"/>
          <c:extLst>
            <c:ext xmlns:c16="http://schemas.microsoft.com/office/drawing/2014/chart" uri="{C3380CC4-5D6E-409C-BE32-E72D297353CC}">
              <c16:uniqueId val="{00000000-A324-4F6B-A90E-57A547227495}"/>
            </c:ext>
          </c:extLst>
        </c:ser>
        <c:dLbls>
          <c:showLegendKey val="0"/>
          <c:showVal val="0"/>
          <c:showCatName val="0"/>
          <c:showSerName val="0"/>
          <c:showPercent val="0"/>
          <c:showBubbleSize val="0"/>
        </c:dLbls>
        <c:axId val="947433728"/>
        <c:axId val="947432744"/>
      </c:scatterChart>
      <c:scatterChart>
        <c:scatterStyle val="lineMarker"/>
        <c:varyColors val="0"/>
        <c:ser>
          <c:idx val="1"/>
          <c:order val="1"/>
          <c:tx>
            <c:v>Data</c:v>
          </c:tx>
          <c:spPr>
            <a:ln w="25400" cap="rnd">
              <a:noFill/>
              <a:round/>
            </a:ln>
            <a:effectLst/>
          </c:spPr>
          <c:marker>
            <c:symbol val="circle"/>
            <c:size val="5"/>
            <c:spPr>
              <a:solidFill>
                <a:schemeClr val="accent2"/>
              </a:solidFill>
              <a:ln w="9525">
                <a:solidFill>
                  <a:schemeClr val="accent2"/>
                </a:solidFill>
              </a:ln>
              <a:effectLst/>
            </c:spPr>
          </c:marker>
          <c:xVal>
            <c:numRef>
              <c:f>BaseCorrelation!$C$23:$C$27</c:f>
              <c:numCache>
                <c:formatCode>0%</c:formatCode>
                <c:ptCount val="5"/>
                <c:pt idx="0">
                  <c:v>0.03</c:v>
                </c:pt>
                <c:pt idx="1">
                  <c:v>0.06</c:v>
                </c:pt>
                <c:pt idx="2">
                  <c:v>0.09</c:v>
                </c:pt>
                <c:pt idx="3">
                  <c:v>0.12</c:v>
                </c:pt>
                <c:pt idx="4">
                  <c:v>0.22</c:v>
                </c:pt>
              </c:numCache>
            </c:numRef>
          </c:xVal>
          <c:yVal>
            <c:numRef>
              <c:f>BaseCorrelation!$E$23:$E$27</c:f>
              <c:numCache>
                <c:formatCode>0.0%</c:formatCode>
                <c:ptCount val="5"/>
                <c:pt idx="0">
                  <c:v>0.17961562623983782</c:v>
                </c:pt>
                <c:pt idx="1">
                  <c:v>0.28382694310174844</c:v>
                </c:pt>
                <c:pt idx="2">
                  <c:v>0.3648945615989812</c:v>
                </c:pt>
                <c:pt idx="3">
                  <c:v>0.43336912568613101</c:v>
                </c:pt>
                <c:pt idx="4">
                  <c:v>0.6112239194672312</c:v>
                </c:pt>
              </c:numCache>
            </c:numRef>
          </c:yVal>
          <c:smooth val="0"/>
          <c:extLst>
            <c:ext xmlns:c16="http://schemas.microsoft.com/office/drawing/2014/chart" uri="{C3380CC4-5D6E-409C-BE32-E72D297353CC}">
              <c16:uniqueId val="{00000001-A324-4F6B-A90E-57A547227495}"/>
            </c:ext>
          </c:extLst>
        </c:ser>
        <c:dLbls>
          <c:showLegendKey val="0"/>
          <c:showVal val="0"/>
          <c:showCatName val="0"/>
          <c:showSerName val="0"/>
          <c:showPercent val="0"/>
          <c:showBubbleSize val="0"/>
        </c:dLbls>
        <c:axId val="947433728"/>
        <c:axId val="947432744"/>
      </c:scatterChart>
      <c:valAx>
        <c:axId val="947433728"/>
        <c:scaling>
          <c:orientation val="minMax"/>
          <c:max val="0.30000000000000004"/>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Detachment point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432744"/>
        <c:crosses val="autoZero"/>
        <c:crossBetween val="midCat"/>
      </c:valAx>
      <c:valAx>
        <c:axId val="9474327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Base correlation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433728"/>
        <c:crosses val="autoZero"/>
        <c:crossBetween val="midCat"/>
      </c:valAx>
      <c:spPr>
        <a:noFill/>
        <a:ln>
          <a:solidFill>
            <a:schemeClr val="tx1">
              <a:lumMod val="50000"/>
              <a:lumOff val="5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hyperlink" Target="http://www.oftraining.com/"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http://www.oftraining.com/" TargetMode="Externa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hyperlink" Target="http://www.oftraining.com/"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http://www.oftraining.com/" TargetMode="Externa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7620</xdr:colOff>
      <xdr:row>0</xdr:row>
      <xdr:rowOff>1</xdr:rowOff>
    </xdr:from>
    <xdr:to>
      <xdr:col>8</xdr:col>
      <xdr:colOff>160020</xdr:colOff>
      <xdr:row>6</xdr:row>
      <xdr:rowOff>7621</xdr:rowOff>
    </xdr:to>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7620" y="1"/>
          <a:ext cx="6438900" cy="1013460"/>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800" b="0" i="0" u="none" strike="noStrike" baseline="0">
              <a:solidFill>
                <a:srgbClr val="0000FF"/>
              </a:solidFill>
              <a:latin typeface="Arial"/>
              <a:cs typeface="Arial"/>
            </a:rPr>
            <a:t>Merton Model</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Some formulas in the classic Merton model for equity and debt.</a:t>
          </a:r>
        </a:p>
      </xdr:txBody>
    </xdr:sp>
    <xdr:clientData/>
  </xdr:twoCellAnchor>
  <xdr:twoCellAnchor>
    <xdr:from>
      <xdr:col>6</xdr:col>
      <xdr:colOff>7620</xdr:colOff>
      <xdr:row>1</xdr:row>
      <xdr:rowOff>45720</xdr:rowOff>
    </xdr:from>
    <xdr:to>
      <xdr:col>7</xdr:col>
      <xdr:colOff>641985</xdr:colOff>
      <xdr:row>3</xdr:row>
      <xdr:rowOff>165735</xdr:rowOff>
    </xdr:to>
    <xdr:sp macro="" textlink="">
      <xdr:nvSpPr>
        <xdr:cNvPr id="3" name="Text Box 2">
          <a:hlinkClick xmlns:r="http://schemas.openxmlformats.org/officeDocument/2006/relationships" r:id="rId1"/>
          <a:extLst>
            <a:ext uri="{FF2B5EF4-FFF2-40B4-BE49-F238E27FC236}">
              <a16:creationId xmlns:a16="http://schemas.microsoft.com/office/drawing/2014/main" id="{00000000-0008-0000-0300-000003000000}"/>
            </a:ext>
          </a:extLst>
        </xdr:cNvPr>
        <xdr:cNvSpPr txBox="1">
          <a:spLocks noChangeArrowheads="1"/>
        </xdr:cNvSpPr>
      </xdr:nvSpPr>
      <xdr:spPr bwMode="auto">
        <a:xfrm>
          <a:off x="4892040" y="213360"/>
          <a:ext cx="1381125" cy="455295"/>
        </a:xfrm>
        <a:prstGeom prst="rect">
          <a:avLst/>
        </a:prstGeom>
        <a:noFill/>
        <a:ln>
          <a:noFill/>
        </a:ln>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Jon Gregory</a:t>
          </a:r>
        </a:p>
        <a:p>
          <a:pPr algn="l" rtl="0">
            <a:defRPr sz="1000"/>
          </a:pPr>
          <a:r>
            <a:rPr lang="en-GB" sz="1000" b="0" i="0" u="sng" strike="noStrike" baseline="0">
              <a:solidFill>
                <a:srgbClr val="0000FF"/>
              </a:solidFill>
              <a:latin typeface="Arial"/>
              <a:cs typeface="Arial"/>
            </a:rPr>
            <a:t>www.cvacentral.com</a:t>
          </a:r>
        </a:p>
      </xdr:txBody>
    </xdr:sp>
    <xdr:clientData/>
  </xdr:twoCellAnchor>
  <xdr:twoCellAnchor>
    <xdr:from>
      <xdr:col>3</xdr:col>
      <xdr:colOff>325350</xdr:colOff>
      <xdr:row>6</xdr:row>
      <xdr:rowOff>139240</xdr:rowOff>
    </xdr:from>
    <xdr:to>
      <xdr:col>9</xdr:col>
      <xdr:colOff>505250</xdr:colOff>
      <xdr:row>22</xdr:row>
      <xdr:rowOff>146840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506383</xdr:colOff>
      <xdr:row>6</xdr:row>
      <xdr:rowOff>138545</xdr:rowOff>
    </xdr:from>
    <xdr:to>
      <xdr:col>15</xdr:col>
      <xdr:colOff>648183</xdr:colOff>
      <xdr:row>22</xdr:row>
      <xdr:rowOff>146145</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457200</xdr:colOff>
      <xdr:row>14</xdr:row>
      <xdr:rowOff>76200</xdr:rowOff>
    </xdr:from>
    <xdr:to>
      <xdr:col>12</xdr:col>
      <xdr:colOff>30480</xdr:colOff>
      <xdr:row>30</xdr:row>
      <xdr:rowOff>106680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xdr:colOff>
      <xdr:row>0</xdr:row>
      <xdr:rowOff>7620</xdr:rowOff>
    </xdr:from>
    <xdr:to>
      <xdr:col>6</xdr:col>
      <xdr:colOff>266700</xdr:colOff>
      <xdr:row>6</xdr:row>
      <xdr:rowOff>165735</xdr:rowOff>
    </xdr:to>
    <xdr:sp macro="" textlink="">
      <xdr:nvSpPr>
        <xdr:cNvPr id="6" name="Text Box 1">
          <a:extLst>
            <a:ext uri="{FF2B5EF4-FFF2-40B4-BE49-F238E27FC236}">
              <a16:creationId xmlns:a16="http://schemas.microsoft.com/office/drawing/2014/main" id="{00000000-0008-0000-0100-000006000000}"/>
            </a:ext>
          </a:extLst>
        </xdr:cNvPr>
        <xdr:cNvSpPr txBox="1">
          <a:spLocks noChangeArrowheads="1"/>
        </xdr:cNvSpPr>
      </xdr:nvSpPr>
      <xdr:spPr bwMode="auto">
        <a:xfrm>
          <a:off x="15240" y="7620"/>
          <a:ext cx="5471160" cy="1163955"/>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800" b="0" i="0" u="none" strike="noStrike" baseline="0">
              <a:solidFill>
                <a:srgbClr val="0000FF"/>
              </a:solidFill>
              <a:latin typeface="Arial"/>
              <a:cs typeface="Arial"/>
            </a:rPr>
            <a:t>CDS Counterparty Risk</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A simple copula approach to calculating counterparty risk for a 5-year CDS</a:t>
          </a:r>
          <a:endParaRPr lang="en-GB" sz="1000" b="0" i="1" u="none" strike="noStrike" baseline="0">
            <a:solidFill>
              <a:srgbClr val="000000"/>
            </a:solidFill>
            <a:latin typeface="Arial"/>
            <a:cs typeface="Arial"/>
          </a:endParaRPr>
        </a:p>
      </xdr:txBody>
    </xdr:sp>
    <xdr:clientData/>
  </xdr:twoCellAnchor>
  <xdr:twoCellAnchor>
    <xdr:from>
      <xdr:col>6</xdr:col>
      <xdr:colOff>510540</xdr:colOff>
      <xdr:row>2</xdr:row>
      <xdr:rowOff>38100</xdr:rowOff>
    </xdr:from>
    <xdr:to>
      <xdr:col>9</xdr:col>
      <xdr:colOff>62865</xdr:colOff>
      <xdr:row>4</xdr:row>
      <xdr:rowOff>158115</xdr:rowOff>
    </xdr:to>
    <xdr:sp macro="" textlink="">
      <xdr:nvSpPr>
        <xdr:cNvPr id="9" name="Text Box 2">
          <a:hlinkClick xmlns:r="http://schemas.openxmlformats.org/officeDocument/2006/relationships" r:id="rId2"/>
          <a:extLst>
            <a:ext uri="{FF2B5EF4-FFF2-40B4-BE49-F238E27FC236}">
              <a16:creationId xmlns:a16="http://schemas.microsoft.com/office/drawing/2014/main" id="{00000000-0008-0000-0100-000009000000}"/>
            </a:ext>
          </a:extLst>
        </xdr:cNvPr>
        <xdr:cNvSpPr txBox="1">
          <a:spLocks noChangeArrowheads="1"/>
        </xdr:cNvSpPr>
      </xdr:nvSpPr>
      <xdr:spPr bwMode="auto">
        <a:xfrm>
          <a:off x="5730240" y="373380"/>
          <a:ext cx="1381125" cy="455295"/>
        </a:xfrm>
        <a:prstGeom prst="rect">
          <a:avLst/>
        </a:prstGeom>
        <a:noFill/>
        <a:ln>
          <a:noFill/>
        </a:ln>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Jon Gregory</a:t>
          </a:r>
        </a:p>
        <a:p>
          <a:pPr algn="l" rtl="0">
            <a:defRPr sz="1000"/>
          </a:pPr>
          <a:r>
            <a:rPr lang="en-GB" sz="1000" b="0" i="0" u="sng" strike="noStrike" baseline="0">
              <a:solidFill>
                <a:srgbClr val="0000FF"/>
              </a:solidFill>
              <a:latin typeface="Arial"/>
              <a:cs typeface="Arial"/>
            </a:rPr>
            <a:t>www.cvacentral.com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53340</xdr:colOff>
      <xdr:row>6</xdr:row>
      <xdr:rowOff>158115</xdr:rowOff>
    </xdr:to>
    <xdr:sp macro="" textlink="">
      <xdr:nvSpPr>
        <xdr:cNvPr id="3" name="Text Box 1">
          <a:extLst>
            <a:ext uri="{FF2B5EF4-FFF2-40B4-BE49-F238E27FC236}">
              <a16:creationId xmlns:a16="http://schemas.microsoft.com/office/drawing/2014/main" id="{2CDB2A83-7085-440B-9206-27B11BF8E49E}"/>
            </a:ext>
          </a:extLst>
        </xdr:cNvPr>
        <xdr:cNvSpPr txBox="1">
          <a:spLocks noChangeArrowheads="1"/>
        </xdr:cNvSpPr>
      </xdr:nvSpPr>
      <xdr:spPr bwMode="auto">
        <a:xfrm>
          <a:off x="0" y="0"/>
          <a:ext cx="7955280" cy="1163955"/>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800" b="0" i="0" u="none" strike="noStrike" baseline="0">
              <a:solidFill>
                <a:srgbClr val="0000FF"/>
              </a:solidFill>
              <a:latin typeface="Arial"/>
              <a:cs typeface="Arial"/>
            </a:rPr>
            <a:t>Gaussian Copula Model Example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Example showing the pricing of CDO (index) tranches using the Gaussian copula model and flat correlation</a:t>
          </a:r>
        </a:p>
      </xdr:txBody>
    </xdr:sp>
    <xdr:clientData/>
  </xdr:twoCellAnchor>
  <xdr:twoCellAnchor>
    <xdr:from>
      <xdr:col>9</xdr:col>
      <xdr:colOff>281940</xdr:colOff>
      <xdr:row>1</xdr:row>
      <xdr:rowOff>106680</xdr:rowOff>
    </xdr:from>
    <xdr:to>
      <xdr:col>11</xdr:col>
      <xdr:colOff>129540</xdr:colOff>
      <xdr:row>4</xdr:row>
      <xdr:rowOff>59055</xdr:rowOff>
    </xdr:to>
    <xdr:sp macro="" textlink="">
      <xdr:nvSpPr>
        <xdr:cNvPr id="4" name="Text Box 2">
          <a:hlinkClick xmlns:r="http://schemas.openxmlformats.org/officeDocument/2006/relationships" r:id="rId1"/>
          <a:extLst>
            <a:ext uri="{FF2B5EF4-FFF2-40B4-BE49-F238E27FC236}">
              <a16:creationId xmlns:a16="http://schemas.microsoft.com/office/drawing/2014/main" id="{DFD5BB2C-A310-41BF-AF78-809BD3A34127}"/>
            </a:ext>
          </a:extLst>
        </xdr:cNvPr>
        <xdr:cNvSpPr txBox="1">
          <a:spLocks noChangeArrowheads="1"/>
        </xdr:cNvSpPr>
      </xdr:nvSpPr>
      <xdr:spPr bwMode="auto">
        <a:xfrm>
          <a:off x="6088380" y="274320"/>
          <a:ext cx="1379220" cy="455295"/>
        </a:xfrm>
        <a:prstGeom prst="rect">
          <a:avLst/>
        </a:prstGeom>
        <a:noFill/>
        <a:ln>
          <a:noFill/>
        </a:ln>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Jon Gregory</a:t>
          </a:r>
        </a:p>
        <a:p>
          <a:pPr algn="l" rtl="0">
            <a:defRPr sz="1000"/>
          </a:pPr>
          <a:r>
            <a:rPr lang="en-GB" sz="1000" b="0" i="0" u="sng" strike="noStrike" baseline="0">
              <a:solidFill>
                <a:srgbClr val="0000FF"/>
              </a:solidFill>
              <a:latin typeface="Arial"/>
              <a:cs typeface="Arial"/>
            </a:rPr>
            <a:t>www.cvacentral.com</a:t>
          </a:r>
        </a:p>
      </xdr:txBody>
    </xdr:sp>
    <xdr:clientData/>
  </xdr:twoCellAnchor>
  <xdr:twoCellAnchor>
    <xdr:from>
      <xdr:col>5</xdr:col>
      <xdr:colOff>274320</xdr:colOff>
      <xdr:row>17</xdr:row>
      <xdr:rowOff>152400</xdr:rowOff>
    </xdr:from>
    <xdr:to>
      <xdr:col>11</xdr:col>
      <xdr:colOff>434340</xdr:colOff>
      <xdr:row>34</xdr:row>
      <xdr:rowOff>38100</xdr:rowOff>
    </xdr:to>
    <xdr:graphicFrame macro="">
      <xdr:nvGraphicFramePr>
        <xdr:cNvPr id="6" name="Chart 5">
          <a:extLst>
            <a:ext uri="{FF2B5EF4-FFF2-40B4-BE49-F238E27FC236}">
              <a16:creationId xmlns:a16="http://schemas.microsoft.com/office/drawing/2014/main" id="{2735AC34-795F-6632-0009-D1C664C2DB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149630</xdr:colOff>
      <xdr:row>8</xdr:row>
      <xdr:rowOff>70658</xdr:rowOff>
    </xdr:from>
    <xdr:to>
      <xdr:col>13</xdr:col>
      <xdr:colOff>450966</xdr:colOff>
      <xdr:row>24</xdr:row>
      <xdr:rowOff>70658</xdr:rowOff>
    </xdr:to>
    <xdr:graphicFrame macro="">
      <xdr:nvGraphicFramePr>
        <xdr:cNvPr id="2" name="Chart 1">
          <a:extLst>
            <a:ext uri="{FF2B5EF4-FFF2-40B4-BE49-F238E27FC236}">
              <a16:creationId xmlns:a16="http://schemas.microsoft.com/office/drawing/2014/main" id="{8836448B-B614-40EE-93A7-6329EBB79B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6</xdr:col>
      <xdr:colOff>599902</xdr:colOff>
      <xdr:row>6</xdr:row>
      <xdr:rowOff>158115</xdr:rowOff>
    </xdr:to>
    <xdr:sp macro="" textlink="">
      <xdr:nvSpPr>
        <xdr:cNvPr id="3" name="Text Box 1">
          <a:extLst>
            <a:ext uri="{FF2B5EF4-FFF2-40B4-BE49-F238E27FC236}">
              <a16:creationId xmlns:a16="http://schemas.microsoft.com/office/drawing/2014/main" id="{DE02AF10-7189-4E82-9D78-2128F66CA89B}"/>
            </a:ext>
          </a:extLst>
        </xdr:cNvPr>
        <xdr:cNvSpPr txBox="1">
          <a:spLocks noChangeArrowheads="1"/>
        </xdr:cNvSpPr>
      </xdr:nvSpPr>
      <xdr:spPr bwMode="auto">
        <a:xfrm>
          <a:off x="0" y="0"/>
          <a:ext cx="4973782" cy="1163955"/>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800" b="0" i="0" u="none" strike="noStrike" baseline="0">
              <a:solidFill>
                <a:srgbClr val="0000FF"/>
              </a:solidFill>
              <a:latin typeface="Arial"/>
              <a:cs typeface="Arial"/>
            </a:rPr>
            <a:t>Base Correlation Example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Example showing a base correlation calibration and pricing of index tranches</a:t>
          </a:r>
        </a:p>
      </xdr:txBody>
    </xdr:sp>
    <xdr:clientData/>
  </xdr:twoCellAnchor>
  <xdr:twoCellAnchor>
    <xdr:from>
      <xdr:col>7</xdr:col>
      <xdr:colOff>60960</xdr:colOff>
      <xdr:row>2</xdr:row>
      <xdr:rowOff>45720</xdr:rowOff>
    </xdr:from>
    <xdr:to>
      <xdr:col>8</xdr:col>
      <xdr:colOff>687705</xdr:colOff>
      <xdr:row>4</xdr:row>
      <xdr:rowOff>165735</xdr:rowOff>
    </xdr:to>
    <xdr:sp macro="" textlink="">
      <xdr:nvSpPr>
        <xdr:cNvPr id="4" name="Text Box 2">
          <a:hlinkClick xmlns:r="http://schemas.openxmlformats.org/officeDocument/2006/relationships" r:id="rId2"/>
          <a:extLst>
            <a:ext uri="{FF2B5EF4-FFF2-40B4-BE49-F238E27FC236}">
              <a16:creationId xmlns:a16="http://schemas.microsoft.com/office/drawing/2014/main" id="{3CBEE038-9D77-44D8-BB77-8DB6A870A0BD}"/>
            </a:ext>
          </a:extLst>
        </xdr:cNvPr>
        <xdr:cNvSpPr txBox="1">
          <a:spLocks noChangeArrowheads="1"/>
        </xdr:cNvSpPr>
      </xdr:nvSpPr>
      <xdr:spPr bwMode="auto">
        <a:xfrm>
          <a:off x="5143500" y="381000"/>
          <a:ext cx="1381125" cy="455295"/>
        </a:xfrm>
        <a:prstGeom prst="rect">
          <a:avLst/>
        </a:prstGeom>
        <a:noFill/>
        <a:ln>
          <a:noFill/>
        </a:ln>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Jon Gregory</a:t>
          </a:r>
        </a:p>
        <a:p>
          <a:pPr algn="l" rtl="0">
            <a:defRPr sz="1000"/>
          </a:pPr>
          <a:r>
            <a:rPr lang="en-GB" sz="1000" b="0" i="0" u="sng" strike="noStrike" baseline="0">
              <a:solidFill>
                <a:srgbClr val="0000FF"/>
              </a:solidFill>
              <a:latin typeface="Arial"/>
              <a:cs typeface="Arial"/>
            </a:rPr>
            <a:t>www.cvacentral.com</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QF%20CDS%20and%20Structural%20Mode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rton"/>
      <sheetName val="CDSCntrptyRisk"/>
      <sheetName val="BasketPricer"/>
      <sheetName val="BaseCorrelation"/>
      <sheetName val="Sheet1"/>
    </sheetNames>
    <sheetDataSet>
      <sheetData sheetId="0">
        <row r="9">
          <cell r="C9">
            <v>200</v>
          </cell>
        </row>
        <row r="10">
          <cell r="C10">
            <v>100</v>
          </cell>
        </row>
        <row r="12">
          <cell r="C12">
            <v>0.2</v>
          </cell>
        </row>
        <row r="13">
          <cell r="C13">
            <v>1</v>
          </cell>
        </row>
        <row r="15">
          <cell r="C15">
            <v>3.8157359027997262</v>
          </cell>
        </row>
        <row r="16">
          <cell r="C16">
            <v>3.6157359027997265</v>
          </cell>
        </row>
      </sheetData>
      <sheetData sheetId="1" refreshError="1"/>
      <sheetData sheetId="2">
        <row r="14">
          <cell r="C14">
            <v>5</v>
          </cell>
        </row>
        <row r="15">
          <cell r="C15">
            <v>10</v>
          </cell>
        </row>
      </sheetData>
      <sheetData sheetId="3">
        <row r="10">
          <cell r="N10" t="str">
            <v>BC Curve</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2AD29-C607-43D6-B699-58C96DFE955D}">
  <sheetPr codeName="Sheet12"/>
  <dimension ref="B1:IV79"/>
  <sheetViews>
    <sheetView showGridLines="0" tabSelected="1" zoomScale="120" zoomScaleNormal="120" workbookViewId="0">
      <selection activeCell="A23" sqref="A23"/>
    </sheetView>
  </sheetViews>
  <sheetFormatPr defaultColWidth="9.109375" defaultRowHeight="13.2" x14ac:dyDescent="0.25"/>
  <cols>
    <col min="1" max="1" width="8.44140625" style="28" customWidth="1"/>
    <col min="2" max="2" width="12.77734375" style="28" bestFit="1" customWidth="1"/>
    <col min="3" max="3" width="11.33203125" style="28" customWidth="1"/>
    <col min="4" max="4" width="14.6640625" style="28" bestFit="1" customWidth="1"/>
    <col min="5" max="5" width="8.109375" style="28" customWidth="1"/>
    <col min="6" max="6" width="9.6640625" style="28" customWidth="1"/>
    <col min="7" max="7" width="10.88671875" style="28" customWidth="1"/>
    <col min="8" max="8" width="9.5546875" style="28" customWidth="1"/>
    <col min="9" max="9" width="10.6640625" style="28" customWidth="1"/>
    <col min="10" max="10" width="12.44140625" style="28" bestFit="1" customWidth="1"/>
    <col min="11" max="11" width="8.44140625" style="28" customWidth="1"/>
    <col min="12" max="12" width="8.5546875" style="28" customWidth="1"/>
    <col min="13" max="17" width="11.5546875" style="28" bestFit="1" customWidth="1"/>
    <col min="18" max="33" width="11" style="28" bestFit="1" customWidth="1"/>
    <col min="34" max="36" width="9.5546875" style="28" bestFit="1" customWidth="1"/>
    <col min="37" max="37" width="12.88671875" style="28" bestFit="1" customWidth="1"/>
    <col min="38" max="48" width="12.44140625" style="28" bestFit="1" customWidth="1"/>
    <col min="49" max="84" width="9.88671875" style="28" bestFit="1" customWidth="1"/>
    <col min="85" max="118" width="10" style="28" bestFit="1" customWidth="1"/>
    <col min="119" max="138" width="11" style="28" bestFit="1" customWidth="1"/>
    <col min="139" max="145" width="12.5546875" style="28" bestFit="1" customWidth="1"/>
    <col min="146" max="146" width="11.5546875" style="28" bestFit="1" customWidth="1"/>
    <col min="147" max="155" width="12.5546875" style="28" bestFit="1" customWidth="1"/>
    <col min="156" max="255" width="9.33203125" style="28" bestFit="1" customWidth="1"/>
    <col min="256" max="256" width="9.109375" style="28"/>
    <col min="257" max="257" width="8.44140625" style="28" customWidth="1"/>
    <col min="258" max="258" width="10.88671875" style="28" bestFit="1" customWidth="1"/>
    <col min="259" max="259" width="19.44140625" style="28" bestFit="1" customWidth="1"/>
    <col min="260" max="260" width="14.6640625" style="28" bestFit="1" customWidth="1"/>
    <col min="261" max="261" width="8.109375" style="28" customWidth="1"/>
    <col min="262" max="262" width="9.6640625" style="28" customWidth="1"/>
    <col min="263" max="263" width="10.88671875" style="28" customWidth="1"/>
    <col min="264" max="264" width="9.5546875" style="28" customWidth="1"/>
    <col min="265" max="265" width="10.6640625" style="28" customWidth="1"/>
    <col min="266" max="266" width="12.44140625" style="28" bestFit="1" customWidth="1"/>
    <col min="267" max="267" width="8.44140625" style="28" customWidth="1"/>
    <col min="268" max="268" width="8.5546875" style="28" customWidth="1"/>
    <col min="269" max="273" width="11.5546875" style="28" bestFit="1" customWidth="1"/>
    <col min="274" max="289" width="11" style="28" bestFit="1" customWidth="1"/>
    <col min="290" max="292" width="9.5546875" style="28" bestFit="1" customWidth="1"/>
    <col min="293" max="293" width="12.88671875" style="28" bestFit="1" customWidth="1"/>
    <col min="294" max="304" width="12.44140625" style="28" bestFit="1" customWidth="1"/>
    <col min="305" max="340" width="9.88671875" style="28" bestFit="1" customWidth="1"/>
    <col min="341" max="374" width="10" style="28" bestFit="1" customWidth="1"/>
    <col min="375" max="394" width="11" style="28" bestFit="1" customWidth="1"/>
    <col min="395" max="401" width="12.5546875" style="28" bestFit="1" customWidth="1"/>
    <col min="402" max="402" width="11.5546875" style="28" bestFit="1" customWidth="1"/>
    <col min="403" max="411" width="12.5546875" style="28" bestFit="1" customWidth="1"/>
    <col min="412" max="511" width="9.33203125" style="28" bestFit="1" customWidth="1"/>
    <col min="512" max="512" width="9.109375" style="28"/>
    <col min="513" max="513" width="8.44140625" style="28" customWidth="1"/>
    <col min="514" max="514" width="10.88671875" style="28" bestFit="1" customWidth="1"/>
    <col min="515" max="515" width="19.44140625" style="28" bestFit="1" customWidth="1"/>
    <col min="516" max="516" width="14.6640625" style="28" bestFit="1" customWidth="1"/>
    <col min="517" max="517" width="8.109375" style="28" customWidth="1"/>
    <col min="518" max="518" width="9.6640625" style="28" customWidth="1"/>
    <col min="519" max="519" width="10.88671875" style="28" customWidth="1"/>
    <col min="520" max="520" width="9.5546875" style="28" customWidth="1"/>
    <col min="521" max="521" width="10.6640625" style="28" customWidth="1"/>
    <col min="522" max="522" width="12.44140625" style="28" bestFit="1" customWidth="1"/>
    <col min="523" max="523" width="8.44140625" style="28" customWidth="1"/>
    <col min="524" max="524" width="8.5546875" style="28" customWidth="1"/>
    <col min="525" max="529" width="11.5546875" style="28" bestFit="1" customWidth="1"/>
    <col min="530" max="545" width="11" style="28" bestFit="1" customWidth="1"/>
    <col min="546" max="548" width="9.5546875" style="28" bestFit="1" customWidth="1"/>
    <col min="549" max="549" width="12.88671875" style="28" bestFit="1" customWidth="1"/>
    <col min="550" max="560" width="12.44140625" style="28" bestFit="1" customWidth="1"/>
    <col min="561" max="596" width="9.88671875" style="28" bestFit="1" customWidth="1"/>
    <col min="597" max="630" width="10" style="28" bestFit="1" customWidth="1"/>
    <col min="631" max="650" width="11" style="28" bestFit="1" customWidth="1"/>
    <col min="651" max="657" width="12.5546875" style="28" bestFit="1" customWidth="1"/>
    <col min="658" max="658" width="11.5546875" style="28" bestFit="1" customWidth="1"/>
    <col min="659" max="667" width="12.5546875" style="28" bestFit="1" customWidth="1"/>
    <col min="668" max="767" width="9.33203125" style="28" bestFit="1" customWidth="1"/>
    <col min="768" max="768" width="9.109375" style="28"/>
    <col min="769" max="769" width="8.44140625" style="28" customWidth="1"/>
    <col min="770" max="770" width="10.88671875" style="28" bestFit="1" customWidth="1"/>
    <col min="771" max="771" width="19.44140625" style="28" bestFit="1" customWidth="1"/>
    <col min="772" max="772" width="14.6640625" style="28" bestFit="1" customWidth="1"/>
    <col min="773" max="773" width="8.109375" style="28" customWidth="1"/>
    <col min="774" max="774" width="9.6640625" style="28" customWidth="1"/>
    <col min="775" max="775" width="10.88671875" style="28" customWidth="1"/>
    <col min="776" max="776" width="9.5546875" style="28" customWidth="1"/>
    <col min="777" max="777" width="10.6640625" style="28" customWidth="1"/>
    <col min="778" max="778" width="12.44140625" style="28" bestFit="1" customWidth="1"/>
    <col min="779" max="779" width="8.44140625" style="28" customWidth="1"/>
    <col min="780" max="780" width="8.5546875" style="28" customWidth="1"/>
    <col min="781" max="785" width="11.5546875" style="28" bestFit="1" customWidth="1"/>
    <col min="786" max="801" width="11" style="28" bestFit="1" customWidth="1"/>
    <col min="802" max="804" width="9.5546875" style="28" bestFit="1" customWidth="1"/>
    <col min="805" max="805" width="12.88671875" style="28" bestFit="1" customWidth="1"/>
    <col min="806" max="816" width="12.44140625" style="28" bestFit="1" customWidth="1"/>
    <col min="817" max="852" width="9.88671875" style="28" bestFit="1" customWidth="1"/>
    <col min="853" max="886" width="10" style="28" bestFit="1" customWidth="1"/>
    <col min="887" max="906" width="11" style="28" bestFit="1" customWidth="1"/>
    <col min="907" max="913" width="12.5546875" style="28" bestFit="1" customWidth="1"/>
    <col min="914" max="914" width="11.5546875" style="28" bestFit="1" customWidth="1"/>
    <col min="915" max="923" width="12.5546875" style="28" bestFit="1" customWidth="1"/>
    <col min="924" max="1023" width="9.33203125" style="28" bestFit="1" customWidth="1"/>
    <col min="1024" max="1024" width="9.109375" style="28"/>
    <col min="1025" max="1025" width="8.44140625" style="28" customWidth="1"/>
    <col min="1026" max="1026" width="10.88671875" style="28" bestFit="1" customWidth="1"/>
    <col min="1027" max="1027" width="19.44140625" style="28" bestFit="1" customWidth="1"/>
    <col min="1028" max="1028" width="14.6640625" style="28" bestFit="1" customWidth="1"/>
    <col min="1029" max="1029" width="8.109375" style="28" customWidth="1"/>
    <col min="1030" max="1030" width="9.6640625" style="28" customWidth="1"/>
    <col min="1031" max="1031" width="10.88671875" style="28" customWidth="1"/>
    <col min="1032" max="1032" width="9.5546875" style="28" customWidth="1"/>
    <col min="1033" max="1033" width="10.6640625" style="28" customWidth="1"/>
    <col min="1034" max="1034" width="12.44140625" style="28" bestFit="1" customWidth="1"/>
    <col min="1035" max="1035" width="8.44140625" style="28" customWidth="1"/>
    <col min="1036" max="1036" width="8.5546875" style="28" customWidth="1"/>
    <col min="1037" max="1041" width="11.5546875" style="28" bestFit="1" customWidth="1"/>
    <col min="1042" max="1057" width="11" style="28" bestFit="1" customWidth="1"/>
    <col min="1058" max="1060" width="9.5546875" style="28" bestFit="1" customWidth="1"/>
    <col min="1061" max="1061" width="12.88671875" style="28" bestFit="1" customWidth="1"/>
    <col min="1062" max="1072" width="12.44140625" style="28" bestFit="1" customWidth="1"/>
    <col min="1073" max="1108" width="9.88671875" style="28" bestFit="1" customWidth="1"/>
    <col min="1109" max="1142" width="10" style="28" bestFit="1" customWidth="1"/>
    <col min="1143" max="1162" width="11" style="28" bestFit="1" customWidth="1"/>
    <col min="1163" max="1169" width="12.5546875" style="28" bestFit="1" customWidth="1"/>
    <col min="1170" max="1170" width="11.5546875" style="28" bestFit="1" customWidth="1"/>
    <col min="1171" max="1179" width="12.5546875" style="28" bestFit="1" customWidth="1"/>
    <col min="1180" max="1279" width="9.33203125" style="28" bestFit="1" customWidth="1"/>
    <col min="1280" max="1280" width="9.109375" style="28"/>
    <col min="1281" max="1281" width="8.44140625" style="28" customWidth="1"/>
    <col min="1282" max="1282" width="10.88671875" style="28" bestFit="1" customWidth="1"/>
    <col min="1283" max="1283" width="19.44140625" style="28" bestFit="1" customWidth="1"/>
    <col min="1284" max="1284" width="14.6640625" style="28" bestFit="1" customWidth="1"/>
    <col min="1285" max="1285" width="8.109375" style="28" customWidth="1"/>
    <col min="1286" max="1286" width="9.6640625" style="28" customWidth="1"/>
    <col min="1287" max="1287" width="10.88671875" style="28" customWidth="1"/>
    <col min="1288" max="1288" width="9.5546875" style="28" customWidth="1"/>
    <col min="1289" max="1289" width="10.6640625" style="28" customWidth="1"/>
    <col min="1290" max="1290" width="12.44140625" style="28" bestFit="1" customWidth="1"/>
    <col min="1291" max="1291" width="8.44140625" style="28" customWidth="1"/>
    <col min="1292" max="1292" width="8.5546875" style="28" customWidth="1"/>
    <col min="1293" max="1297" width="11.5546875" style="28" bestFit="1" customWidth="1"/>
    <col min="1298" max="1313" width="11" style="28" bestFit="1" customWidth="1"/>
    <col min="1314" max="1316" width="9.5546875" style="28" bestFit="1" customWidth="1"/>
    <col min="1317" max="1317" width="12.88671875" style="28" bestFit="1" customWidth="1"/>
    <col min="1318" max="1328" width="12.44140625" style="28" bestFit="1" customWidth="1"/>
    <col min="1329" max="1364" width="9.88671875" style="28" bestFit="1" customWidth="1"/>
    <col min="1365" max="1398" width="10" style="28" bestFit="1" customWidth="1"/>
    <col min="1399" max="1418" width="11" style="28" bestFit="1" customWidth="1"/>
    <col min="1419" max="1425" width="12.5546875" style="28" bestFit="1" customWidth="1"/>
    <col min="1426" max="1426" width="11.5546875" style="28" bestFit="1" customWidth="1"/>
    <col min="1427" max="1435" width="12.5546875" style="28" bestFit="1" customWidth="1"/>
    <col min="1436" max="1535" width="9.33203125" style="28" bestFit="1" customWidth="1"/>
    <col min="1536" max="1536" width="9.109375" style="28"/>
    <col min="1537" max="1537" width="8.44140625" style="28" customWidth="1"/>
    <col min="1538" max="1538" width="10.88671875" style="28" bestFit="1" customWidth="1"/>
    <col min="1539" max="1539" width="19.44140625" style="28" bestFit="1" customWidth="1"/>
    <col min="1540" max="1540" width="14.6640625" style="28" bestFit="1" customWidth="1"/>
    <col min="1541" max="1541" width="8.109375" style="28" customWidth="1"/>
    <col min="1542" max="1542" width="9.6640625" style="28" customWidth="1"/>
    <col min="1543" max="1543" width="10.88671875" style="28" customWidth="1"/>
    <col min="1544" max="1544" width="9.5546875" style="28" customWidth="1"/>
    <col min="1545" max="1545" width="10.6640625" style="28" customWidth="1"/>
    <col min="1546" max="1546" width="12.44140625" style="28" bestFit="1" customWidth="1"/>
    <col min="1547" max="1547" width="8.44140625" style="28" customWidth="1"/>
    <col min="1548" max="1548" width="8.5546875" style="28" customWidth="1"/>
    <col min="1549" max="1553" width="11.5546875" style="28" bestFit="1" customWidth="1"/>
    <col min="1554" max="1569" width="11" style="28" bestFit="1" customWidth="1"/>
    <col min="1570" max="1572" width="9.5546875" style="28" bestFit="1" customWidth="1"/>
    <col min="1573" max="1573" width="12.88671875" style="28" bestFit="1" customWidth="1"/>
    <col min="1574" max="1584" width="12.44140625" style="28" bestFit="1" customWidth="1"/>
    <col min="1585" max="1620" width="9.88671875" style="28" bestFit="1" customWidth="1"/>
    <col min="1621" max="1654" width="10" style="28" bestFit="1" customWidth="1"/>
    <col min="1655" max="1674" width="11" style="28" bestFit="1" customWidth="1"/>
    <col min="1675" max="1681" width="12.5546875" style="28" bestFit="1" customWidth="1"/>
    <col min="1682" max="1682" width="11.5546875" style="28" bestFit="1" customWidth="1"/>
    <col min="1683" max="1691" width="12.5546875" style="28" bestFit="1" customWidth="1"/>
    <col min="1692" max="1791" width="9.33203125" style="28" bestFit="1" customWidth="1"/>
    <col min="1792" max="1792" width="9.109375" style="28"/>
    <col min="1793" max="1793" width="8.44140625" style="28" customWidth="1"/>
    <col min="1794" max="1794" width="10.88671875" style="28" bestFit="1" customWidth="1"/>
    <col min="1795" max="1795" width="19.44140625" style="28" bestFit="1" customWidth="1"/>
    <col min="1796" max="1796" width="14.6640625" style="28" bestFit="1" customWidth="1"/>
    <col min="1797" max="1797" width="8.109375" style="28" customWidth="1"/>
    <col min="1798" max="1798" width="9.6640625" style="28" customWidth="1"/>
    <col min="1799" max="1799" width="10.88671875" style="28" customWidth="1"/>
    <col min="1800" max="1800" width="9.5546875" style="28" customWidth="1"/>
    <col min="1801" max="1801" width="10.6640625" style="28" customWidth="1"/>
    <col min="1802" max="1802" width="12.44140625" style="28" bestFit="1" customWidth="1"/>
    <col min="1803" max="1803" width="8.44140625" style="28" customWidth="1"/>
    <col min="1804" max="1804" width="8.5546875" style="28" customWidth="1"/>
    <col min="1805" max="1809" width="11.5546875" style="28" bestFit="1" customWidth="1"/>
    <col min="1810" max="1825" width="11" style="28" bestFit="1" customWidth="1"/>
    <col min="1826" max="1828" width="9.5546875" style="28" bestFit="1" customWidth="1"/>
    <col min="1829" max="1829" width="12.88671875" style="28" bestFit="1" customWidth="1"/>
    <col min="1830" max="1840" width="12.44140625" style="28" bestFit="1" customWidth="1"/>
    <col min="1841" max="1876" width="9.88671875" style="28" bestFit="1" customWidth="1"/>
    <col min="1877" max="1910" width="10" style="28" bestFit="1" customWidth="1"/>
    <col min="1911" max="1930" width="11" style="28" bestFit="1" customWidth="1"/>
    <col min="1931" max="1937" width="12.5546875" style="28" bestFit="1" customWidth="1"/>
    <col min="1938" max="1938" width="11.5546875" style="28" bestFit="1" customWidth="1"/>
    <col min="1939" max="1947" width="12.5546875" style="28" bestFit="1" customWidth="1"/>
    <col min="1948" max="2047" width="9.33203125" style="28" bestFit="1" customWidth="1"/>
    <col min="2048" max="2048" width="9.109375" style="28"/>
    <col min="2049" max="2049" width="8.44140625" style="28" customWidth="1"/>
    <col min="2050" max="2050" width="10.88671875" style="28" bestFit="1" customWidth="1"/>
    <col min="2051" max="2051" width="19.44140625" style="28" bestFit="1" customWidth="1"/>
    <col min="2052" max="2052" width="14.6640625" style="28" bestFit="1" customWidth="1"/>
    <col min="2053" max="2053" width="8.109375" style="28" customWidth="1"/>
    <col min="2054" max="2054" width="9.6640625" style="28" customWidth="1"/>
    <col min="2055" max="2055" width="10.88671875" style="28" customWidth="1"/>
    <col min="2056" max="2056" width="9.5546875" style="28" customWidth="1"/>
    <col min="2057" max="2057" width="10.6640625" style="28" customWidth="1"/>
    <col min="2058" max="2058" width="12.44140625" style="28" bestFit="1" customWidth="1"/>
    <col min="2059" max="2059" width="8.44140625" style="28" customWidth="1"/>
    <col min="2060" max="2060" width="8.5546875" style="28" customWidth="1"/>
    <col min="2061" max="2065" width="11.5546875" style="28" bestFit="1" customWidth="1"/>
    <col min="2066" max="2081" width="11" style="28" bestFit="1" customWidth="1"/>
    <col min="2082" max="2084" width="9.5546875" style="28" bestFit="1" customWidth="1"/>
    <col min="2085" max="2085" width="12.88671875" style="28" bestFit="1" customWidth="1"/>
    <col min="2086" max="2096" width="12.44140625" style="28" bestFit="1" customWidth="1"/>
    <col min="2097" max="2132" width="9.88671875" style="28" bestFit="1" customWidth="1"/>
    <col min="2133" max="2166" width="10" style="28" bestFit="1" customWidth="1"/>
    <col min="2167" max="2186" width="11" style="28" bestFit="1" customWidth="1"/>
    <col min="2187" max="2193" width="12.5546875" style="28" bestFit="1" customWidth="1"/>
    <col min="2194" max="2194" width="11.5546875" style="28" bestFit="1" customWidth="1"/>
    <col min="2195" max="2203" width="12.5546875" style="28" bestFit="1" customWidth="1"/>
    <col min="2204" max="2303" width="9.33203125" style="28" bestFit="1" customWidth="1"/>
    <col min="2304" max="2304" width="9.109375" style="28"/>
    <col min="2305" max="2305" width="8.44140625" style="28" customWidth="1"/>
    <col min="2306" max="2306" width="10.88671875" style="28" bestFit="1" customWidth="1"/>
    <col min="2307" max="2307" width="19.44140625" style="28" bestFit="1" customWidth="1"/>
    <col min="2308" max="2308" width="14.6640625" style="28" bestFit="1" customWidth="1"/>
    <col min="2309" max="2309" width="8.109375" style="28" customWidth="1"/>
    <col min="2310" max="2310" width="9.6640625" style="28" customWidth="1"/>
    <col min="2311" max="2311" width="10.88671875" style="28" customWidth="1"/>
    <col min="2312" max="2312" width="9.5546875" style="28" customWidth="1"/>
    <col min="2313" max="2313" width="10.6640625" style="28" customWidth="1"/>
    <col min="2314" max="2314" width="12.44140625" style="28" bestFit="1" customWidth="1"/>
    <col min="2315" max="2315" width="8.44140625" style="28" customWidth="1"/>
    <col min="2316" max="2316" width="8.5546875" style="28" customWidth="1"/>
    <col min="2317" max="2321" width="11.5546875" style="28" bestFit="1" customWidth="1"/>
    <col min="2322" max="2337" width="11" style="28" bestFit="1" customWidth="1"/>
    <col min="2338" max="2340" width="9.5546875" style="28" bestFit="1" customWidth="1"/>
    <col min="2341" max="2341" width="12.88671875" style="28" bestFit="1" customWidth="1"/>
    <col min="2342" max="2352" width="12.44140625" style="28" bestFit="1" customWidth="1"/>
    <col min="2353" max="2388" width="9.88671875" style="28" bestFit="1" customWidth="1"/>
    <col min="2389" max="2422" width="10" style="28" bestFit="1" customWidth="1"/>
    <col min="2423" max="2442" width="11" style="28" bestFit="1" customWidth="1"/>
    <col min="2443" max="2449" width="12.5546875" style="28" bestFit="1" customWidth="1"/>
    <col min="2450" max="2450" width="11.5546875" style="28" bestFit="1" customWidth="1"/>
    <col min="2451" max="2459" width="12.5546875" style="28" bestFit="1" customWidth="1"/>
    <col min="2460" max="2559" width="9.33203125" style="28" bestFit="1" customWidth="1"/>
    <col min="2560" max="2560" width="9.109375" style="28"/>
    <col min="2561" max="2561" width="8.44140625" style="28" customWidth="1"/>
    <col min="2562" max="2562" width="10.88671875" style="28" bestFit="1" customWidth="1"/>
    <col min="2563" max="2563" width="19.44140625" style="28" bestFit="1" customWidth="1"/>
    <col min="2564" max="2564" width="14.6640625" style="28" bestFit="1" customWidth="1"/>
    <col min="2565" max="2565" width="8.109375" style="28" customWidth="1"/>
    <col min="2566" max="2566" width="9.6640625" style="28" customWidth="1"/>
    <col min="2567" max="2567" width="10.88671875" style="28" customWidth="1"/>
    <col min="2568" max="2568" width="9.5546875" style="28" customWidth="1"/>
    <col min="2569" max="2569" width="10.6640625" style="28" customWidth="1"/>
    <col min="2570" max="2570" width="12.44140625" style="28" bestFit="1" customWidth="1"/>
    <col min="2571" max="2571" width="8.44140625" style="28" customWidth="1"/>
    <col min="2572" max="2572" width="8.5546875" style="28" customWidth="1"/>
    <col min="2573" max="2577" width="11.5546875" style="28" bestFit="1" customWidth="1"/>
    <col min="2578" max="2593" width="11" style="28" bestFit="1" customWidth="1"/>
    <col min="2594" max="2596" width="9.5546875" style="28" bestFit="1" customWidth="1"/>
    <col min="2597" max="2597" width="12.88671875" style="28" bestFit="1" customWidth="1"/>
    <col min="2598" max="2608" width="12.44140625" style="28" bestFit="1" customWidth="1"/>
    <col min="2609" max="2644" width="9.88671875" style="28" bestFit="1" customWidth="1"/>
    <col min="2645" max="2678" width="10" style="28" bestFit="1" customWidth="1"/>
    <col min="2679" max="2698" width="11" style="28" bestFit="1" customWidth="1"/>
    <col min="2699" max="2705" width="12.5546875" style="28" bestFit="1" customWidth="1"/>
    <col min="2706" max="2706" width="11.5546875" style="28" bestFit="1" customWidth="1"/>
    <col min="2707" max="2715" width="12.5546875" style="28" bestFit="1" customWidth="1"/>
    <col min="2716" max="2815" width="9.33203125" style="28" bestFit="1" customWidth="1"/>
    <col min="2816" max="2816" width="9.109375" style="28"/>
    <col min="2817" max="2817" width="8.44140625" style="28" customWidth="1"/>
    <col min="2818" max="2818" width="10.88671875" style="28" bestFit="1" customWidth="1"/>
    <col min="2819" max="2819" width="19.44140625" style="28" bestFit="1" customWidth="1"/>
    <col min="2820" max="2820" width="14.6640625" style="28" bestFit="1" customWidth="1"/>
    <col min="2821" max="2821" width="8.109375" style="28" customWidth="1"/>
    <col min="2822" max="2822" width="9.6640625" style="28" customWidth="1"/>
    <col min="2823" max="2823" width="10.88671875" style="28" customWidth="1"/>
    <col min="2824" max="2824" width="9.5546875" style="28" customWidth="1"/>
    <col min="2825" max="2825" width="10.6640625" style="28" customWidth="1"/>
    <col min="2826" max="2826" width="12.44140625" style="28" bestFit="1" customWidth="1"/>
    <col min="2827" max="2827" width="8.44140625" style="28" customWidth="1"/>
    <col min="2828" max="2828" width="8.5546875" style="28" customWidth="1"/>
    <col min="2829" max="2833" width="11.5546875" style="28" bestFit="1" customWidth="1"/>
    <col min="2834" max="2849" width="11" style="28" bestFit="1" customWidth="1"/>
    <col min="2850" max="2852" width="9.5546875" style="28" bestFit="1" customWidth="1"/>
    <col min="2853" max="2853" width="12.88671875" style="28" bestFit="1" customWidth="1"/>
    <col min="2854" max="2864" width="12.44140625" style="28" bestFit="1" customWidth="1"/>
    <col min="2865" max="2900" width="9.88671875" style="28" bestFit="1" customWidth="1"/>
    <col min="2901" max="2934" width="10" style="28" bestFit="1" customWidth="1"/>
    <col min="2935" max="2954" width="11" style="28" bestFit="1" customWidth="1"/>
    <col min="2955" max="2961" width="12.5546875" style="28" bestFit="1" customWidth="1"/>
    <col min="2962" max="2962" width="11.5546875" style="28" bestFit="1" customWidth="1"/>
    <col min="2963" max="2971" width="12.5546875" style="28" bestFit="1" customWidth="1"/>
    <col min="2972" max="3071" width="9.33203125" style="28" bestFit="1" customWidth="1"/>
    <col min="3072" max="3072" width="9.109375" style="28"/>
    <col min="3073" max="3073" width="8.44140625" style="28" customWidth="1"/>
    <col min="3074" max="3074" width="10.88671875" style="28" bestFit="1" customWidth="1"/>
    <col min="3075" max="3075" width="19.44140625" style="28" bestFit="1" customWidth="1"/>
    <col min="3076" max="3076" width="14.6640625" style="28" bestFit="1" customWidth="1"/>
    <col min="3077" max="3077" width="8.109375" style="28" customWidth="1"/>
    <col min="3078" max="3078" width="9.6640625" style="28" customWidth="1"/>
    <col min="3079" max="3079" width="10.88671875" style="28" customWidth="1"/>
    <col min="3080" max="3080" width="9.5546875" style="28" customWidth="1"/>
    <col min="3081" max="3081" width="10.6640625" style="28" customWidth="1"/>
    <col min="3082" max="3082" width="12.44140625" style="28" bestFit="1" customWidth="1"/>
    <col min="3083" max="3083" width="8.44140625" style="28" customWidth="1"/>
    <col min="3084" max="3084" width="8.5546875" style="28" customWidth="1"/>
    <col min="3085" max="3089" width="11.5546875" style="28" bestFit="1" customWidth="1"/>
    <col min="3090" max="3105" width="11" style="28" bestFit="1" customWidth="1"/>
    <col min="3106" max="3108" width="9.5546875" style="28" bestFit="1" customWidth="1"/>
    <col min="3109" max="3109" width="12.88671875" style="28" bestFit="1" customWidth="1"/>
    <col min="3110" max="3120" width="12.44140625" style="28" bestFit="1" customWidth="1"/>
    <col min="3121" max="3156" width="9.88671875" style="28" bestFit="1" customWidth="1"/>
    <col min="3157" max="3190" width="10" style="28" bestFit="1" customWidth="1"/>
    <col min="3191" max="3210" width="11" style="28" bestFit="1" customWidth="1"/>
    <col min="3211" max="3217" width="12.5546875" style="28" bestFit="1" customWidth="1"/>
    <col min="3218" max="3218" width="11.5546875" style="28" bestFit="1" customWidth="1"/>
    <col min="3219" max="3227" width="12.5546875" style="28" bestFit="1" customWidth="1"/>
    <col min="3228" max="3327" width="9.33203125" style="28" bestFit="1" customWidth="1"/>
    <col min="3328" max="3328" width="9.109375" style="28"/>
    <col min="3329" max="3329" width="8.44140625" style="28" customWidth="1"/>
    <col min="3330" max="3330" width="10.88671875" style="28" bestFit="1" customWidth="1"/>
    <col min="3331" max="3331" width="19.44140625" style="28" bestFit="1" customWidth="1"/>
    <col min="3332" max="3332" width="14.6640625" style="28" bestFit="1" customWidth="1"/>
    <col min="3333" max="3333" width="8.109375" style="28" customWidth="1"/>
    <col min="3334" max="3334" width="9.6640625" style="28" customWidth="1"/>
    <col min="3335" max="3335" width="10.88671875" style="28" customWidth="1"/>
    <col min="3336" max="3336" width="9.5546875" style="28" customWidth="1"/>
    <col min="3337" max="3337" width="10.6640625" style="28" customWidth="1"/>
    <col min="3338" max="3338" width="12.44140625" style="28" bestFit="1" customWidth="1"/>
    <col min="3339" max="3339" width="8.44140625" style="28" customWidth="1"/>
    <col min="3340" max="3340" width="8.5546875" style="28" customWidth="1"/>
    <col min="3341" max="3345" width="11.5546875" style="28" bestFit="1" customWidth="1"/>
    <col min="3346" max="3361" width="11" style="28" bestFit="1" customWidth="1"/>
    <col min="3362" max="3364" width="9.5546875" style="28" bestFit="1" customWidth="1"/>
    <col min="3365" max="3365" width="12.88671875" style="28" bestFit="1" customWidth="1"/>
    <col min="3366" max="3376" width="12.44140625" style="28" bestFit="1" customWidth="1"/>
    <col min="3377" max="3412" width="9.88671875" style="28" bestFit="1" customWidth="1"/>
    <col min="3413" max="3446" width="10" style="28" bestFit="1" customWidth="1"/>
    <col min="3447" max="3466" width="11" style="28" bestFit="1" customWidth="1"/>
    <col min="3467" max="3473" width="12.5546875" style="28" bestFit="1" customWidth="1"/>
    <col min="3474" max="3474" width="11.5546875" style="28" bestFit="1" customWidth="1"/>
    <col min="3475" max="3483" width="12.5546875" style="28" bestFit="1" customWidth="1"/>
    <col min="3484" max="3583" width="9.33203125" style="28" bestFit="1" customWidth="1"/>
    <col min="3584" max="3584" width="9.109375" style="28"/>
    <col min="3585" max="3585" width="8.44140625" style="28" customWidth="1"/>
    <col min="3586" max="3586" width="10.88671875" style="28" bestFit="1" customWidth="1"/>
    <col min="3587" max="3587" width="19.44140625" style="28" bestFit="1" customWidth="1"/>
    <col min="3588" max="3588" width="14.6640625" style="28" bestFit="1" customWidth="1"/>
    <col min="3589" max="3589" width="8.109375" style="28" customWidth="1"/>
    <col min="3590" max="3590" width="9.6640625" style="28" customWidth="1"/>
    <col min="3591" max="3591" width="10.88671875" style="28" customWidth="1"/>
    <col min="3592" max="3592" width="9.5546875" style="28" customWidth="1"/>
    <col min="3593" max="3593" width="10.6640625" style="28" customWidth="1"/>
    <col min="3594" max="3594" width="12.44140625" style="28" bestFit="1" customWidth="1"/>
    <col min="3595" max="3595" width="8.44140625" style="28" customWidth="1"/>
    <col min="3596" max="3596" width="8.5546875" style="28" customWidth="1"/>
    <col min="3597" max="3601" width="11.5546875" style="28" bestFit="1" customWidth="1"/>
    <col min="3602" max="3617" width="11" style="28" bestFit="1" customWidth="1"/>
    <col min="3618" max="3620" width="9.5546875" style="28" bestFit="1" customWidth="1"/>
    <col min="3621" max="3621" width="12.88671875" style="28" bestFit="1" customWidth="1"/>
    <col min="3622" max="3632" width="12.44140625" style="28" bestFit="1" customWidth="1"/>
    <col min="3633" max="3668" width="9.88671875" style="28" bestFit="1" customWidth="1"/>
    <col min="3669" max="3702" width="10" style="28" bestFit="1" customWidth="1"/>
    <col min="3703" max="3722" width="11" style="28" bestFit="1" customWidth="1"/>
    <col min="3723" max="3729" width="12.5546875" style="28" bestFit="1" customWidth="1"/>
    <col min="3730" max="3730" width="11.5546875" style="28" bestFit="1" customWidth="1"/>
    <col min="3731" max="3739" width="12.5546875" style="28" bestFit="1" customWidth="1"/>
    <col min="3740" max="3839" width="9.33203125" style="28" bestFit="1" customWidth="1"/>
    <col min="3840" max="3840" width="9.109375" style="28"/>
    <col min="3841" max="3841" width="8.44140625" style="28" customWidth="1"/>
    <col min="3842" max="3842" width="10.88671875" style="28" bestFit="1" customWidth="1"/>
    <col min="3843" max="3843" width="19.44140625" style="28" bestFit="1" customWidth="1"/>
    <col min="3844" max="3844" width="14.6640625" style="28" bestFit="1" customWidth="1"/>
    <col min="3845" max="3845" width="8.109375" style="28" customWidth="1"/>
    <col min="3846" max="3846" width="9.6640625" style="28" customWidth="1"/>
    <col min="3847" max="3847" width="10.88671875" style="28" customWidth="1"/>
    <col min="3848" max="3848" width="9.5546875" style="28" customWidth="1"/>
    <col min="3849" max="3849" width="10.6640625" style="28" customWidth="1"/>
    <col min="3850" max="3850" width="12.44140625" style="28" bestFit="1" customWidth="1"/>
    <col min="3851" max="3851" width="8.44140625" style="28" customWidth="1"/>
    <col min="3852" max="3852" width="8.5546875" style="28" customWidth="1"/>
    <col min="3853" max="3857" width="11.5546875" style="28" bestFit="1" customWidth="1"/>
    <col min="3858" max="3873" width="11" style="28" bestFit="1" customWidth="1"/>
    <col min="3874" max="3876" width="9.5546875" style="28" bestFit="1" customWidth="1"/>
    <col min="3877" max="3877" width="12.88671875" style="28" bestFit="1" customWidth="1"/>
    <col min="3878" max="3888" width="12.44140625" style="28" bestFit="1" customWidth="1"/>
    <col min="3889" max="3924" width="9.88671875" style="28" bestFit="1" customWidth="1"/>
    <col min="3925" max="3958" width="10" style="28" bestFit="1" customWidth="1"/>
    <col min="3959" max="3978" width="11" style="28" bestFit="1" customWidth="1"/>
    <col min="3979" max="3985" width="12.5546875" style="28" bestFit="1" customWidth="1"/>
    <col min="3986" max="3986" width="11.5546875" style="28" bestFit="1" customWidth="1"/>
    <col min="3987" max="3995" width="12.5546875" style="28" bestFit="1" customWidth="1"/>
    <col min="3996" max="4095" width="9.33203125" style="28" bestFit="1" customWidth="1"/>
    <col min="4096" max="4096" width="9.109375" style="28"/>
    <col min="4097" max="4097" width="8.44140625" style="28" customWidth="1"/>
    <col min="4098" max="4098" width="10.88671875" style="28" bestFit="1" customWidth="1"/>
    <col min="4099" max="4099" width="19.44140625" style="28" bestFit="1" customWidth="1"/>
    <col min="4100" max="4100" width="14.6640625" style="28" bestFit="1" customWidth="1"/>
    <col min="4101" max="4101" width="8.109375" style="28" customWidth="1"/>
    <col min="4102" max="4102" width="9.6640625" style="28" customWidth="1"/>
    <col min="4103" max="4103" width="10.88671875" style="28" customWidth="1"/>
    <col min="4104" max="4104" width="9.5546875" style="28" customWidth="1"/>
    <col min="4105" max="4105" width="10.6640625" style="28" customWidth="1"/>
    <col min="4106" max="4106" width="12.44140625" style="28" bestFit="1" customWidth="1"/>
    <col min="4107" max="4107" width="8.44140625" style="28" customWidth="1"/>
    <col min="4108" max="4108" width="8.5546875" style="28" customWidth="1"/>
    <col min="4109" max="4113" width="11.5546875" style="28" bestFit="1" customWidth="1"/>
    <col min="4114" max="4129" width="11" style="28" bestFit="1" customWidth="1"/>
    <col min="4130" max="4132" width="9.5546875" style="28" bestFit="1" customWidth="1"/>
    <col min="4133" max="4133" width="12.88671875" style="28" bestFit="1" customWidth="1"/>
    <col min="4134" max="4144" width="12.44140625" style="28" bestFit="1" customWidth="1"/>
    <col min="4145" max="4180" width="9.88671875" style="28" bestFit="1" customWidth="1"/>
    <col min="4181" max="4214" width="10" style="28" bestFit="1" customWidth="1"/>
    <col min="4215" max="4234" width="11" style="28" bestFit="1" customWidth="1"/>
    <col min="4235" max="4241" width="12.5546875" style="28" bestFit="1" customWidth="1"/>
    <col min="4242" max="4242" width="11.5546875" style="28" bestFit="1" customWidth="1"/>
    <col min="4243" max="4251" width="12.5546875" style="28" bestFit="1" customWidth="1"/>
    <col min="4252" max="4351" width="9.33203125" style="28" bestFit="1" customWidth="1"/>
    <col min="4352" max="4352" width="9.109375" style="28"/>
    <col min="4353" max="4353" width="8.44140625" style="28" customWidth="1"/>
    <col min="4354" max="4354" width="10.88671875" style="28" bestFit="1" customWidth="1"/>
    <col min="4355" max="4355" width="19.44140625" style="28" bestFit="1" customWidth="1"/>
    <col min="4356" max="4356" width="14.6640625" style="28" bestFit="1" customWidth="1"/>
    <col min="4357" max="4357" width="8.109375" style="28" customWidth="1"/>
    <col min="4358" max="4358" width="9.6640625" style="28" customWidth="1"/>
    <col min="4359" max="4359" width="10.88671875" style="28" customWidth="1"/>
    <col min="4360" max="4360" width="9.5546875" style="28" customWidth="1"/>
    <col min="4361" max="4361" width="10.6640625" style="28" customWidth="1"/>
    <col min="4362" max="4362" width="12.44140625" style="28" bestFit="1" customWidth="1"/>
    <col min="4363" max="4363" width="8.44140625" style="28" customWidth="1"/>
    <col min="4364" max="4364" width="8.5546875" style="28" customWidth="1"/>
    <col min="4365" max="4369" width="11.5546875" style="28" bestFit="1" customWidth="1"/>
    <col min="4370" max="4385" width="11" style="28" bestFit="1" customWidth="1"/>
    <col min="4386" max="4388" width="9.5546875" style="28" bestFit="1" customWidth="1"/>
    <col min="4389" max="4389" width="12.88671875" style="28" bestFit="1" customWidth="1"/>
    <col min="4390" max="4400" width="12.44140625" style="28" bestFit="1" customWidth="1"/>
    <col min="4401" max="4436" width="9.88671875" style="28" bestFit="1" customWidth="1"/>
    <col min="4437" max="4470" width="10" style="28" bestFit="1" customWidth="1"/>
    <col min="4471" max="4490" width="11" style="28" bestFit="1" customWidth="1"/>
    <col min="4491" max="4497" width="12.5546875" style="28" bestFit="1" customWidth="1"/>
    <col min="4498" max="4498" width="11.5546875" style="28" bestFit="1" customWidth="1"/>
    <col min="4499" max="4507" width="12.5546875" style="28" bestFit="1" customWidth="1"/>
    <col min="4508" max="4607" width="9.33203125" style="28" bestFit="1" customWidth="1"/>
    <col min="4608" max="4608" width="9.109375" style="28"/>
    <col min="4609" max="4609" width="8.44140625" style="28" customWidth="1"/>
    <col min="4610" max="4610" width="10.88671875" style="28" bestFit="1" customWidth="1"/>
    <col min="4611" max="4611" width="19.44140625" style="28" bestFit="1" customWidth="1"/>
    <col min="4612" max="4612" width="14.6640625" style="28" bestFit="1" customWidth="1"/>
    <col min="4613" max="4613" width="8.109375" style="28" customWidth="1"/>
    <col min="4614" max="4614" width="9.6640625" style="28" customWidth="1"/>
    <col min="4615" max="4615" width="10.88671875" style="28" customWidth="1"/>
    <col min="4616" max="4616" width="9.5546875" style="28" customWidth="1"/>
    <col min="4617" max="4617" width="10.6640625" style="28" customWidth="1"/>
    <col min="4618" max="4618" width="12.44140625" style="28" bestFit="1" customWidth="1"/>
    <col min="4619" max="4619" width="8.44140625" style="28" customWidth="1"/>
    <col min="4620" max="4620" width="8.5546875" style="28" customWidth="1"/>
    <col min="4621" max="4625" width="11.5546875" style="28" bestFit="1" customWidth="1"/>
    <col min="4626" max="4641" width="11" style="28" bestFit="1" customWidth="1"/>
    <col min="4642" max="4644" width="9.5546875" style="28" bestFit="1" customWidth="1"/>
    <col min="4645" max="4645" width="12.88671875" style="28" bestFit="1" customWidth="1"/>
    <col min="4646" max="4656" width="12.44140625" style="28" bestFit="1" customWidth="1"/>
    <col min="4657" max="4692" width="9.88671875" style="28" bestFit="1" customWidth="1"/>
    <col min="4693" max="4726" width="10" style="28" bestFit="1" customWidth="1"/>
    <col min="4727" max="4746" width="11" style="28" bestFit="1" customWidth="1"/>
    <col min="4747" max="4753" width="12.5546875" style="28" bestFit="1" customWidth="1"/>
    <col min="4754" max="4754" width="11.5546875" style="28" bestFit="1" customWidth="1"/>
    <col min="4755" max="4763" width="12.5546875" style="28" bestFit="1" customWidth="1"/>
    <col min="4764" max="4863" width="9.33203125" style="28" bestFit="1" customWidth="1"/>
    <col min="4864" max="4864" width="9.109375" style="28"/>
    <col min="4865" max="4865" width="8.44140625" style="28" customWidth="1"/>
    <col min="4866" max="4866" width="10.88671875" style="28" bestFit="1" customWidth="1"/>
    <col min="4867" max="4867" width="19.44140625" style="28" bestFit="1" customWidth="1"/>
    <col min="4868" max="4868" width="14.6640625" style="28" bestFit="1" customWidth="1"/>
    <col min="4869" max="4869" width="8.109375" style="28" customWidth="1"/>
    <col min="4870" max="4870" width="9.6640625" style="28" customWidth="1"/>
    <col min="4871" max="4871" width="10.88671875" style="28" customWidth="1"/>
    <col min="4872" max="4872" width="9.5546875" style="28" customWidth="1"/>
    <col min="4873" max="4873" width="10.6640625" style="28" customWidth="1"/>
    <col min="4874" max="4874" width="12.44140625" style="28" bestFit="1" customWidth="1"/>
    <col min="4875" max="4875" width="8.44140625" style="28" customWidth="1"/>
    <col min="4876" max="4876" width="8.5546875" style="28" customWidth="1"/>
    <col min="4877" max="4881" width="11.5546875" style="28" bestFit="1" customWidth="1"/>
    <col min="4882" max="4897" width="11" style="28" bestFit="1" customWidth="1"/>
    <col min="4898" max="4900" width="9.5546875" style="28" bestFit="1" customWidth="1"/>
    <col min="4901" max="4901" width="12.88671875" style="28" bestFit="1" customWidth="1"/>
    <col min="4902" max="4912" width="12.44140625" style="28" bestFit="1" customWidth="1"/>
    <col min="4913" max="4948" width="9.88671875" style="28" bestFit="1" customWidth="1"/>
    <col min="4949" max="4982" width="10" style="28" bestFit="1" customWidth="1"/>
    <col min="4983" max="5002" width="11" style="28" bestFit="1" customWidth="1"/>
    <col min="5003" max="5009" width="12.5546875" style="28" bestFit="1" customWidth="1"/>
    <col min="5010" max="5010" width="11.5546875" style="28" bestFit="1" customWidth="1"/>
    <col min="5011" max="5019" width="12.5546875" style="28" bestFit="1" customWidth="1"/>
    <col min="5020" max="5119" width="9.33203125" style="28" bestFit="1" customWidth="1"/>
    <col min="5120" max="5120" width="9.109375" style="28"/>
    <col min="5121" max="5121" width="8.44140625" style="28" customWidth="1"/>
    <col min="5122" max="5122" width="10.88671875" style="28" bestFit="1" customWidth="1"/>
    <col min="5123" max="5123" width="19.44140625" style="28" bestFit="1" customWidth="1"/>
    <col min="5124" max="5124" width="14.6640625" style="28" bestFit="1" customWidth="1"/>
    <col min="5125" max="5125" width="8.109375" style="28" customWidth="1"/>
    <col min="5126" max="5126" width="9.6640625" style="28" customWidth="1"/>
    <col min="5127" max="5127" width="10.88671875" style="28" customWidth="1"/>
    <col min="5128" max="5128" width="9.5546875" style="28" customWidth="1"/>
    <col min="5129" max="5129" width="10.6640625" style="28" customWidth="1"/>
    <col min="5130" max="5130" width="12.44140625" style="28" bestFit="1" customWidth="1"/>
    <col min="5131" max="5131" width="8.44140625" style="28" customWidth="1"/>
    <col min="5132" max="5132" width="8.5546875" style="28" customWidth="1"/>
    <col min="5133" max="5137" width="11.5546875" style="28" bestFit="1" customWidth="1"/>
    <col min="5138" max="5153" width="11" style="28" bestFit="1" customWidth="1"/>
    <col min="5154" max="5156" width="9.5546875" style="28" bestFit="1" customWidth="1"/>
    <col min="5157" max="5157" width="12.88671875" style="28" bestFit="1" customWidth="1"/>
    <col min="5158" max="5168" width="12.44140625" style="28" bestFit="1" customWidth="1"/>
    <col min="5169" max="5204" width="9.88671875" style="28" bestFit="1" customWidth="1"/>
    <col min="5205" max="5238" width="10" style="28" bestFit="1" customWidth="1"/>
    <col min="5239" max="5258" width="11" style="28" bestFit="1" customWidth="1"/>
    <col min="5259" max="5265" width="12.5546875" style="28" bestFit="1" customWidth="1"/>
    <col min="5266" max="5266" width="11.5546875" style="28" bestFit="1" customWidth="1"/>
    <col min="5267" max="5275" width="12.5546875" style="28" bestFit="1" customWidth="1"/>
    <col min="5276" max="5375" width="9.33203125" style="28" bestFit="1" customWidth="1"/>
    <col min="5376" max="5376" width="9.109375" style="28"/>
    <col min="5377" max="5377" width="8.44140625" style="28" customWidth="1"/>
    <col min="5378" max="5378" width="10.88671875" style="28" bestFit="1" customWidth="1"/>
    <col min="5379" max="5379" width="19.44140625" style="28" bestFit="1" customWidth="1"/>
    <col min="5380" max="5380" width="14.6640625" style="28" bestFit="1" customWidth="1"/>
    <col min="5381" max="5381" width="8.109375" style="28" customWidth="1"/>
    <col min="5382" max="5382" width="9.6640625" style="28" customWidth="1"/>
    <col min="5383" max="5383" width="10.88671875" style="28" customWidth="1"/>
    <col min="5384" max="5384" width="9.5546875" style="28" customWidth="1"/>
    <col min="5385" max="5385" width="10.6640625" style="28" customWidth="1"/>
    <col min="5386" max="5386" width="12.44140625" style="28" bestFit="1" customWidth="1"/>
    <col min="5387" max="5387" width="8.44140625" style="28" customWidth="1"/>
    <col min="5388" max="5388" width="8.5546875" style="28" customWidth="1"/>
    <col min="5389" max="5393" width="11.5546875" style="28" bestFit="1" customWidth="1"/>
    <col min="5394" max="5409" width="11" style="28" bestFit="1" customWidth="1"/>
    <col min="5410" max="5412" width="9.5546875" style="28" bestFit="1" customWidth="1"/>
    <col min="5413" max="5413" width="12.88671875" style="28" bestFit="1" customWidth="1"/>
    <col min="5414" max="5424" width="12.44140625" style="28" bestFit="1" customWidth="1"/>
    <col min="5425" max="5460" width="9.88671875" style="28" bestFit="1" customWidth="1"/>
    <col min="5461" max="5494" width="10" style="28" bestFit="1" customWidth="1"/>
    <col min="5495" max="5514" width="11" style="28" bestFit="1" customWidth="1"/>
    <col min="5515" max="5521" width="12.5546875" style="28" bestFit="1" customWidth="1"/>
    <col min="5522" max="5522" width="11.5546875" style="28" bestFit="1" customWidth="1"/>
    <col min="5523" max="5531" width="12.5546875" style="28" bestFit="1" customWidth="1"/>
    <col min="5532" max="5631" width="9.33203125" style="28" bestFit="1" customWidth="1"/>
    <col min="5632" max="5632" width="9.109375" style="28"/>
    <col min="5633" max="5633" width="8.44140625" style="28" customWidth="1"/>
    <col min="5634" max="5634" width="10.88671875" style="28" bestFit="1" customWidth="1"/>
    <col min="5635" max="5635" width="19.44140625" style="28" bestFit="1" customWidth="1"/>
    <col min="5636" max="5636" width="14.6640625" style="28" bestFit="1" customWidth="1"/>
    <col min="5637" max="5637" width="8.109375" style="28" customWidth="1"/>
    <col min="5638" max="5638" width="9.6640625" style="28" customWidth="1"/>
    <col min="5639" max="5639" width="10.88671875" style="28" customWidth="1"/>
    <col min="5640" max="5640" width="9.5546875" style="28" customWidth="1"/>
    <col min="5641" max="5641" width="10.6640625" style="28" customWidth="1"/>
    <col min="5642" max="5642" width="12.44140625" style="28" bestFit="1" customWidth="1"/>
    <col min="5643" max="5643" width="8.44140625" style="28" customWidth="1"/>
    <col min="5644" max="5644" width="8.5546875" style="28" customWidth="1"/>
    <col min="5645" max="5649" width="11.5546875" style="28" bestFit="1" customWidth="1"/>
    <col min="5650" max="5665" width="11" style="28" bestFit="1" customWidth="1"/>
    <col min="5666" max="5668" width="9.5546875" style="28" bestFit="1" customWidth="1"/>
    <col min="5669" max="5669" width="12.88671875" style="28" bestFit="1" customWidth="1"/>
    <col min="5670" max="5680" width="12.44140625" style="28" bestFit="1" customWidth="1"/>
    <col min="5681" max="5716" width="9.88671875" style="28" bestFit="1" customWidth="1"/>
    <col min="5717" max="5750" width="10" style="28" bestFit="1" customWidth="1"/>
    <col min="5751" max="5770" width="11" style="28" bestFit="1" customWidth="1"/>
    <col min="5771" max="5777" width="12.5546875" style="28" bestFit="1" customWidth="1"/>
    <col min="5778" max="5778" width="11.5546875" style="28" bestFit="1" customWidth="1"/>
    <col min="5779" max="5787" width="12.5546875" style="28" bestFit="1" customWidth="1"/>
    <col min="5788" max="5887" width="9.33203125" style="28" bestFit="1" customWidth="1"/>
    <col min="5888" max="5888" width="9.109375" style="28"/>
    <col min="5889" max="5889" width="8.44140625" style="28" customWidth="1"/>
    <col min="5890" max="5890" width="10.88671875" style="28" bestFit="1" customWidth="1"/>
    <col min="5891" max="5891" width="19.44140625" style="28" bestFit="1" customWidth="1"/>
    <col min="5892" max="5892" width="14.6640625" style="28" bestFit="1" customWidth="1"/>
    <col min="5893" max="5893" width="8.109375" style="28" customWidth="1"/>
    <col min="5894" max="5894" width="9.6640625" style="28" customWidth="1"/>
    <col min="5895" max="5895" width="10.88671875" style="28" customWidth="1"/>
    <col min="5896" max="5896" width="9.5546875" style="28" customWidth="1"/>
    <col min="5897" max="5897" width="10.6640625" style="28" customWidth="1"/>
    <col min="5898" max="5898" width="12.44140625" style="28" bestFit="1" customWidth="1"/>
    <col min="5899" max="5899" width="8.44140625" style="28" customWidth="1"/>
    <col min="5900" max="5900" width="8.5546875" style="28" customWidth="1"/>
    <col min="5901" max="5905" width="11.5546875" style="28" bestFit="1" customWidth="1"/>
    <col min="5906" max="5921" width="11" style="28" bestFit="1" customWidth="1"/>
    <col min="5922" max="5924" width="9.5546875" style="28" bestFit="1" customWidth="1"/>
    <col min="5925" max="5925" width="12.88671875" style="28" bestFit="1" customWidth="1"/>
    <col min="5926" max="5936" width="12.44140625" style="28" bestFit="1" customWidth="1"/>
    <col min="5937" max="5972" width="9.88671875" style="28" bestFit="1" customWidth="1"/>
    <col min="5973" max="6006" width="10" style="28" bestFit="1" customWidth="1"/>
    <col min="6007" max="6026" width="11" style="28" bestFit="1" customWidth="1"/>
    <col min="6027" max="6033" width="12.5546875" style="28" bestFit="1" customWidth="1"/>
    <col min="6034" max="6034" width="11.5546875" style="28" bestFit="1" customWidth="1"/>
    <col min="6035" max="6043" width="12.5546875" style="28" bestFit="1" customWidth="1"/>
    <col min="6044" max="6143" width="9.33203125" style="28" bestFit="1" customWidth="1"/>
    <col min="6144" max="6144" width="9.109375" style="28"/>
    <col min="6145" max="6145" width="8.44140625" style="28" customWidth="1"/>
    <col min="6146" max="6146" width="10.88671875" style="28" bestFit="1" customWidth="1"/>
    <col min="6147" max="6147" width="19.44140625" style="28" bestFit="1" customWidth="1"/>
    <col min="6148" max="6148" width="14.6640625" style="28" bestFit="1" customWidth="1"/>
    <col min="6149" max="6149" width="8.109375" style="28" customWidth="1"/>
    <col min="6150" max="6150" width="9.6640625" style="28" customWidth="1"/>
    <col min="6151" max="6151" width="10.88671875" style="28" customWidth="1"/>
    <col min="6152" max="6152" width="9.5546875" style="28" customWidth="1"/>
    <col min="6153" max="6153" width="10.6640625" style="28" customWidth="1"/>
    <col min="6154" max="6154" width="12.44140625" style="28" bestFit="1" customWidth="1"/>
    <col min="6155" max="6155" width="8.44140625" style="28" customWidth="1"/>
    <col min="6156" max="6156" width="8.5546875" style="28" customWidth="1"/>
    <col min="6157" max="6161" width="11.5546875" style="28" bestFit="1" customWidth="1"/>
    <col min="6162" max="6177" width="11" style="28" bestFit="1" customWidth="1"/>
    <col min="6178" max="6180" width="9.5546875" style="28" bestFit="1" customWidth="1"/>
    <col min="6181" max="6181" width="12.88671875" style="28" bestFit="1" customWidth="1"/>
    <col min="6182" max="6192" width="12.44140625" style="28" bestFit="1" customWidth="1"/>
    <col min="6193" max="6228" width="9.88671875" style="28" bestFit="1" customWidth="1"/>
    <col min="6229" max="6262" width="10" style="28" bestFit="1" customWidth="1"/>
    <col min="6263" max="6282" width="11" style="28" bestFit="1" customWidth="1"/>
    <col min="6283" max="6289" width="12.5546875" style="28" bestFit="1" customWidth="1"/>
    <col min="6290" max="6290" width="11.5546875" style="28" bestFit="1" customWidth="1"/>
    <col min="6291" max="6299" width="12.5546875" style="28" bestFit="1" customWidth="1"/>
    <col min="6300" max="6399" width="9.33203125" style="28" bestFit="1" customWidth="1"/>
    <col min="6400" max="6400" width="9.109375" style="28"/>
    <col min="6401" max="6401" width="8.44140625" style="28" customWidth="1"/>
    <col min="6402" max="6402" width="10.88671875" style="28" bestFit="1" customWidth="1"/>
    <col min="6403" max="6403" width="19.44140625" style="28" bestFit="1" customWidth="1"/>
    <col min="6404" max="6404" width="14.6640625" style="28" bestFit="1" customWidth="1"/>
    <col min="6405" max="6405" width="8.109375" style="28" customWidth="1"/>
    <col min="6406" max="6406" width="9.6640625" style="28" customWidth="1"/>
    <col min="6407" max="6407" width="10.88671875" style="28" customWidth="1"/>
    <col min="6408" max="6408" width="9.5546875" style="28" customWidth="1"/>
    <col min="6409" max="6409" width="10.6640625" style="28" customWidth="1"/>
    <col min="6410" max="6410" width="12.44140625" style="28" bestFit="1" customWidth="1"/>
    <col min="6411" max="6411" width="8.44140625" style="28" customWidth="1"/>
    <col min="6412" max="6412" width="8.5546875" style="28" customWidth="1"/>
    <col min="6413" max="6417" width="11.5546875" style="28" bestFit="1" customWidth="1"/>
    <col min="6418" max="6433" width="11" style="28" bestFit="1" customWidth="1"/>
    <col min="6434" max="6436" width="9.5546875" style="28" bestFit="1" customWidth="1"/>
    <col min="6437" max="6437" width="12.88671875" style="28" bestFit="1" customWidth="1"/>
    <col min="6438" max="6448" width="12.44140625" style="28" bestFit="1" customWidth="1"/>
    <col min="6449" max="6484" width="9.88671875" style="28" bestFit="1" customWidth="1"/>
    <col min="6485" max="6518" width="10" style="28" bestFit="1" customWidth="1"/>
    <col min="6519" max="6538" width="11" style="28" bestFit="1" customWidth="1"/>
    <col min="6539" max="6545" width="12.5546875" style="28" bestFit="1" customWidth="1"/>
    <col min="6546" max="6546" width="11.5546875" style="28" bestFit="1" customWidth="1"/>
    <col min="6547" max="6555" width="12.5546875" style="28" bestFit="1" customWidth="1"/>
    <col min="6556" max="6655" width="9.33203125" style="28" bestFit="1" customWidth="1"/>
    <col min="6656" max="6656" width="9.109375" style="28"/>
    <col min="6657" max="6657" width="8.44140625" style="28" customWidth="1"/>
    <col min="6658" max="6658" width="10.88671875" style="28" bestFit="1" customWidth="1"/>
    <col min="6659" max="6659" width="19.44140625" style="28" bestFit="1" customWidth="1"/>
    <col min="6660" max="6660" width="14.6640625" style="28" bestFit="1" customWidth="1"/>
    <col min="6661" max="6661" width="8.109375" style="28" customWidth="1"/>
    <col min="6662" max="6662" width="9.6640625" style="28" customWidth="1"/>
    <col min="6663" max="6663" width="10.88671875" style="28" customWidth="1"/>
    <col min="6664" max="6664" width="9.5546875" style="28" customWidth="1"/>
    <col min="6665" max="6665" width="10.6640625" style="28" customWidth="1"/>
    <col min="6666" max="6666" width="12.44140625" style="28" bestFit="1" customWidth="1"/>
    <col min="6667" max="6667" width="8.44140625" style="28" customWidth="1"/>
    <col min="6668" max="6668" width="8.5546875" style="28" customWidth="1"/>
    <col min="6669" max="6673" width="11.5546875" style="28" bestFit="1" customWidth="1"/>
    <col min="6674" max="6689" width="11" style="28" bestFit="1" customWidth="1"/>
    <col min="6690" max="6692" width="9.5546875" style="28" bestFit="1" customWidth="1"/>
    <col min="6693" max="6693" width="12.88671875" style="28" bestFit="1" customWidth="1"/>
    <col min="6694" max="6704" width="12.44140625" style="28" bestFit="1" customWidth="1"/>
    <col min="6705" max="6740" width="9.88671875" style="28" bestFit="1" customWidth="1"/>
    <col min="6741" max="6774" width="10" style="28" bestFit="1" customWidth="1"/>
    <col min="6775" max="6794" width="11" style="28" bestFit="1" customWidth="1"/>
    <col min="6795" max="6801" width="12.5546875" style="28" bestFit="1" customWidth="1"/>
    <col min="6802" max="6802" width="11.5546875" style="28" bestFit="1" customWidth="1"/>
    <col min="6803" max="6811" width="12.5546875" style="28" bestFit="1" customWidth="1"/>
    <col min="6812" max="6911" width="9.33203125" style="28" bestFit="1" customWidth="1"/>
    <col min="6912" max="6912" width="9.109375" style="28"/>
    <col min="6913" max="6913" width="8.44140625" style="28" customWidth="1"/>
    <col min="6914" max="6914" width="10.88671875" style="28" bestFit="1" customWidth="1"/>
    <col min="6915" max="6915" width="19.44140625" style="28" bestFit="1" customWidth="1"/>
    <col min="6916" max="6916" width="14.6640625" style="28" bestFit="1" customWidth="1"/>
    <col min="6917" max="6917" width="8.109375" style="28" customWidth="1"/>
    <col min="6918" max="6918" width="9.6640625" style="28" customWidth="1"/>
    <col min="6919" max="6919" width="10.88671875" style="28" customWidth="1"/>
    <col min="6920" max="6920" width="9.5546875" style="28" customWidth="1"/>
    <col min="6921" max="6921" width="10.6640625" style="28" customWidth="1"/>
    <col min="6922" max="6922" width="12.44140625" style="28" bestFit="1" customWidth="1"/>
    <col min="6923" max="6923" width="8.44140625" style="28" customWidth="1"/>
    <col min="6924" max="6924" width="8.5546875" style="28" customWidth="1"/>
    <col min="6925" max="6929" width="11.5546875" style="28" bestFit="1" customWidth="1"/>
    <col min="6930" max="6945" width="11" style="28" bestFit="1" customWidth="1"/>
    <col min="6946" max="6948" width="9.5546875" style="28" bestFit="1" customWidth="1"/>
    <col min="6949" max="6949" width="12.88671875" style="28" bestFit="1" customWidth="1"/>
    <col min="6950" max="6960" width="12.44140625" style="28" bestFit="1" customWidth="1"/>
    <col min="6961" max="6996" width="9.88671875" style="28" bestFit="1" customWidth="1"/>
    <col min="6997" max="7030" width="10" style="28" bestFit="1" customWidth="1"/>
    <col min="7031" max="7050" width="11" style="28" bestFit="1" customWidth="1"/>
    <col min="7051" max="7057" width="12.5546875" style="28" bestFit="1" customWidth="1"/>
    <col min="7058" max="7058" width="11.5546875" style="28" bestFit="1" customWidth="1"/>
    <col min="7059" max="7067" width="12.5546875" style="28" bestFit="1" customWidth="1"/>
    <col min="7068" max="7167" width="9.33203125" style="28" bestFit="1" customWidth="1"/>
    <col min="7168" max="7168" width="9.109375" style="28"/>
    <col min="7169" max="7169" width="8.44140625" style="28" customWidth="1"/>
    <col min="7170" max="7170" width="10.88671875" style="28" bestFit="1" customWidth="1"/>
    <col min="7171" max="7171" width="19.44140625" style="28" bestFit="1" customWidth="1"/>
    <col min="7172" max="7172" width="14.6640625" style="28" bestFit="1" customWidth="1"/>
    <col min="7173" max="7173" width="8.109375" style="28" customWidth="1"/>
    <col min="7174" max="7174" width="9.6640625" style="28" customWidth="1"/>
    <col min="7175" max="7175" width="10.88671875" style="28" customWidth="1"/>
    <col min="7176" max="7176" width="9.5546875" style="28" customWidth="1"/>
    <col min="7177" max="7177" width="10.6640625" style="28" customWidth="1"/>
    <col min="7178" max="7178" width="12.44140625" style="28" bestFit="1" customWidth="1"/>
    <col min="7179" max="7179" width="8.44140625" style="28" customWidth="1"/>
    <col min="7180" max="7180" width="8.5546875" style="28" customWidth="1"/>
    <col min="7181" max="7185" width="11.5546875" style="28" bestFit="1" customWidth="1"/>
    <col min="7186" max="7201" width="11" style="28" bestFit="1" customWidth="1"/>
    <col min="7202" max="7204" width="9.5546875" style="28" bestFit="1" customWidth="1"/>
    <col min="7205" max="7205" width="12.88671875" style="28" bestFit="1" customWidth="1"/>
    <col min="7206" max="7216" width="12.44140625" style="28" bestFit="1" customWidth="1"/>
    <col min="7217" max="7252" width="9.88671875" style="28" bestFit="1" customWidth="1"/>
    <col min="7253" max="7286" width="10" style="28" bestFit="1" customWidth="1"/>
    <col min="7287" max="7306" width="11" style="28" bestFit="1" customWidth="1"/>
    <col min="7307" max="7313" width="12.5546875" style="28" bestFit="1" customWidth="1"/>
    <col min="7314" max="7314" width="11.5546875" style="28" bestFit="1" customWidth="1"/>
    <col min="7315" max="7323" width="12.5546875" style="28" bestFit="1" customWidth="1"/>
    <col min="7324" max="7423" width="9.33203125" style="28" bestFit="1" customWidth="1"/>
    <col min="7424" max="7424" width="9.109375" style="28"/>
    <col min="7425" max="7425" width="8.44140625" style="28" customWidth="1"/>
    <col min="7426" max="7426" width="10.88671875" style="28" bestFit="1" customWidth="1"/>
    <col min="7427" max="7427" width="19.44140625" style="28" bestFit="1" customWidth="1"/>
    <col min="7428" max="7428" width="14.6640625" style="28" bestFit="1" customWidth="1"/>
    <col min="7429" max="7429" width="8.109375" style="28" customWidth="1"/>
    <col min="7430" max="7430" width="9.6640625" style="28" customWidth="1"/>
    <col min="7431" max="7431" width="10.88671875" style="28" customWidth="1"/>
    <col min="7432" max="7432" width="9.5546875" style="28" customWidth="1"/>
    <col min="7433" max="7433" width="10.6640625" style="28" customWidth="1"/>
    <col min="7434" max="7434" width="12.44140625" style="28" bestFit="1" customWidth="1"/>
    <col min="7435" max="7435" width="8.44140625" style="28" customWidth="1"/>
    <col min="7436" max="7436" width="8.5546875" style="28" customWidth="1"/>
    <col min="7437" max="7441" width="11.5546875" style="28" bestFit="1" customWidth="1"/>
    <col min="7442" max="7457" width="11" style="28" bestFit="1" customWidth="1"/>
    <col min="7458" max="7460" width="9.5546875" style="28" bestFit="1" customWidth="1"/>
    <col min="7461" max="7461" width="12.88671875" style="28" bestFit="1" customWidth="1"/>
    <col min="7462" max="7472" width="12.44140625" style="28" bestFit="1" customWidth="1"/>
    <col min="7473" max="7508" width="9.88671875" style="28" bestFit="1" customWidth="1"/>
    <col min="7509" max="7542" width="10" style="28" bestFit="1" customWidth="1"/>
    <col min="7543" max="7562" width="11" style="28" bestFit="1" customWidth="1"/>
    <col min="7563" max="7569" width="12.5546875" style="28" bestFit="1" customWidth="1"/>
    <col min="7570" max="7570" width="11.5546875" style="28" bestFit="1" customWidth="1"/>
    <col min="7571" max="7579" width="12.5546875" style="28" bestFit="1" customWidth="1"/>
    <col min="7580" max="7679" width="9.33203125" style="28" bestFit="1" customWidth="1"/>
    <col min="7680" max="7680" width="9.109375" style="28"/>
    <col min="7681" max="7681" width="8.44140625" style="28" customWidth="1"/>
    <col min="7682" max="7682" width="10.88671875" style="28" bestFit="1" customWidth="1"/>
    <col min="7683" max="7683" width="19.44140625" style="28" bestFit="1" customWidth="1"/>
    <col min="7684" max="7684" width="14.6640625" style="28" bestFit="1" customWidth="1"/>
    <col min="7685" max="7685" width="8.109375" style="28" customWidth="1"/>
    <col min="7686" max="7686" width="9.6640625" style="28" customWidth="1"/>
    <col min="7687" max="7687" width="10.88671875" style="28" customWidth="1"/>
    <col min="7688" max="7688" width="9.5546875" style="28" customWidth="1"/>
    <col min="7689" max="7689" width="10.6640625" style="28" customWidth="1"/>
    <col min="7690" max="7690" width="12.44140625" style="28" bestFit="1" customWidth="1"/>
    <col min="7691" max="7691" width="8.44140625" style="28" customWidth="1"/>
    <col min="7692" max="7692" width="8.5546875" style="28" customWidth="1"/>
    <col min="7693" max="7697" width="11.5546875" style="28" bestFit="1" customWidth="1"/>
    <col min="7698" max="7713" width="11" style="28" bestFit="1" customWidth="1"/>
    <col min="7714" max="7716" width="9.5546875" style="28" bestFit="1" customWidth="1"/>
    <col min="7717" max="7717" width="12.88671875" style="28" bestFit="1" customWidth="1"/>
    <col min="7718" max="7728" width="12.44140625" style="28" bestFit="1" customWidth="1"/>
    <col min="7729" max="7764" width="9.88671875" style="28" bestFit="1" customWidth="1"/>
    <col min="7765" max="7798" width="10" style="28" bestFit="1" customWidth="1"/>
    <col min="7799" max="7818" width="11" style="28" bestFit="1" customWidth="1"/>
    <col min="7819" max="7825" width="12.5546875" style="28" bestFit="1" customWidth="1"/>
    <col min="7826" max="7826" width="11.5546875" style="28" bestFit="1" customWidth="1"/>
    <col min="7827" max="7835" width="12.5546875" style="28" bestFit="1" customWidth="1"/>
    <col min="7836" max="7935" width="9.33203125" style="28" bestFit="1" customWidth="1"/>
    <col min="7936" max="7936" width="9.109375" style="28"/>
    <col min="7937" max="7937" width="8.44140625" style="28" customWidth="1"/>
    <col min="7938" max="7938" width="10.88671875" style="28" bestFit="1" customWidth="1"/>
    <col min="7939" max="7939" width="19.44140625" style="28" bestFit="1" customWidth="1"/>
    <col min="7940" max="7940" width="14.6640625" style="28" bestFit="1" customWidth="1"/>
    <col min="7941" max="7941" width="8.109375" style="28" customWidth="1"/>
    <col min="7942" max="7942" width="9.6640625" style="28" customWidth="1"/>
    <col min="7943" max="7943" width="10.88671875" style="28" customWidth="1"/>
    <col min="7944" max="7944" width="9.5546875" style="28" customWidth="1"/>
    <col min="7945" max="7945" width="10.6640625" style="28" customWidth="1"/>
    <col min="7946" max="7946" width="12.44140625" style="28" bestFit="1" customWidth="1"/>
    <col min="7947" max="7947" width="8.44140625" style="28" customWidth="1"/>
    <col min="7948" max="7948" width="8.5546875" style="28" customWidth="1"/>
    <col min="7949" max="7953" width="11.5546875" style="28" bestFit="1" customWidth="1"/>
    <col min="7954" max="7969" width="11" style="28" bestFit="1" customWidth="1"/>
    <col min="7970" max="7972" width="9.5546875" style="28" bestFit="1" customWidth="1"/>
    <col min="7973" max="7973" width="12.88671875" style="28" bestFit="1" customWidth="1"/>
    <col min="7974" max="7984" width="12.44140625" style="28" bestFit="1" customWidth="1"/>
    <col min="7985" max="8020" width="9.88671875" style="28" bestFit="1" customWidth="1"/>
    <col min="8021" max="8054" width="10" style="28" bestFit="1" customWidth="1"/>
    <col min="8055" max="8074" width="11" style="28" bestFit="1" customWidth="1"/>
    <col min="8075" max="8081" width="12.5546875" style="28" bestFit="1" customWidth="1"/>
    <col min="8082" max="8082" width="11.5546875" style="28" bestFit="1" customWidth="1"/>
    <col min="8083" max="8091" width="12.5546875" style="28" bestFit="1" customWidth="1"/>
    <col min="8092" max="8191" width="9.33203125" style="28" bestFit="1" customWidth="1"/>
    <col min="8192" max="8192" width="9.109375" style="28"/>
    <col min="8193" max="8193" width="8.44140625" style="28" customWidth="1"/>
    <col min="8194" max="8194" width="10.88671875" style="28" bestFit="1" customWidth="1"/>
    <col min="8195" max="8195" width="19.44140625" style="28" bestFit="1" customWidth="1"/>
    <col min="8196" max="8196" width="14.6640625" style="28" bestFit="1" customWidth="1"/>
    <col min="8197" max="8197" width="8.109375" style="28" customWidth="1"/>
    <col min="8198" max="8198" width="9.6640625" style="28" customWidth="1"/>
    <col min="8199" max="8199" width="10.88671875" style="28" customWidth="1"/>
    <col min="8200" max="8200" width="9.5546875" style="28" customWidth="1"/>
    <col min="8201" max="8201" width="10.6640625" style="28" customWidth="1"/>
    <col min="8202" max="8202" width="12.44140625" style="28" bestFit="1" customWidth="1"/>
    <col min="8203" max="8203" width="8.44140625" style="28" customWidth="1"/>
    <col min="8204" max="8204" width="8.5546875" style="28" customWidth="1"/>
    <col min="8205" max="8209" width="11.5546875" style="28" bestFit="1" customWidth="1"/>
    <col min="8210" max="8225" width="11" style="28" bestFit="1" customWidth="1"/>
    <col min="8226" max="8228" width="9.5546875" style="28" bestFit="1" customWidth="1"/>
    <col min="8229" max="8229" width="12.88671875" style="28" bestFit="1" customWidth="1"/>
    <col min="8230" max="8240" width="12.44140625" style="28" bestFit="1" customWidth="1"/>
    <col min="8241" max="8276" width="9.88671875" style="28" bestFit="1" customWidth="1"/>
    <col min="8277" max="8310" width="10" style="28" bestFit="1" customWidth="1"/>
    <col min="8311" max="8330" width="11" style="28" bestFit="1" customWidth="1"/>
    <col min="8331" max="8337" width="12.5546875" style="28" bestFit="1" customWidth="1"/>
    <col min="8338" max="8338" width="11.5546875" style="28" bestFit="1" customWidth="1"/>
    <col min="8339" max="8347" width="12.5546875" style="28" bestFit="1" customWidth="1"/>
    <col min="8348" max="8447" width="9.33203125" style="28" bestFit="1" customWidth="1"/>
    <col min="8448" max="8448" width="9.109375" style="28"/>
    <col min="8449" max="8449" width="8.44140625" style="28" customWidth="1"/>
    <col min="8450" max="8450" width="10.88671875" style="28" bestFit="1" customWidth="1"/>
    <col min="8451" max="8451" width="19.44140625" style="28" bestFit="1" customWidth="1"/>
    <col min="8452" max="8452" width="14.6640625" style="28" bestFit="1" customWidth="1"/>
    <col min="8453" max="8453" width="8.109375" style="28" customWidth="1"/>
    <col min="8454" max="8454" width="9.6640625" style="28" customWidth="1"/>
    <col min="8455" max="8455" width="10.88671875" style="28" customWidth="1"/>
    <col min="8456" max="8456" width="9.5546875" style="28" customWidth="1"/>
    <col min="8457" max="8457" width="10.6640625" style="28" customWidth="1"/>
    <col min="8458" max="8458" width="12.44140625" style="28" bestFit="1" customWidth="1"/>
    <col min="8459" max="8459" width="8.44140625" style="28" customWidth="1"/>
    <col min="8460" max="8460" width="8.5546875" style="28" customWidth="1"/>
    <col min="8461" max="8465" width="11.5546875" style="28" bestFit="1" customWidth="1"/>
    <col min="8466" max="8481" width="11" style="28" bestFit="1" customWidth="1"/>
    <col min="8482" max="8484" width="9.5546875" style="28" bestFit="1" customWidth="1"/>
    <col min="8485" max="8485" width="12.88671875" style="28" bestFit="1" customWidth="1"/>
    <col min="8486" max="8496" width="12.44140625" style="28" bestFit="1" customWidth="1"/>
    <col min="8497" max="8532" width="9.88671875" style="28" bestFit="1" customWidth="1"/>
    <col min="8533" max="8566" width="10" style="28" bestFit="1" customWidth="1"/>
    <col min="8567" max="8586" width="11" style="28" bestFit="1" customWidth="1"/>
    <col min="8587" max="8593" width="12.5546875" style="28" bestFit="1" customWidth="1"/>
    <col min="8594" max="8594" width="11.5546875" style="28" bestFit="1" customWidth="1"/>
    <col min="8595" max="8603" width="12.5546875" style="28" bestFit="1" customWidth="1"/>
    <col min="8604" max="8703" width="9.33203125" style="28" bestFit="1" customWidth="1"/>
    <col min="8704" max="8704" width="9.109375" style="28"/>
    <col min="8705" max="8705" width="8.44140625" style="28" customWidth="1"/>
    <col min="8706" max="8706" width="10.88671875" style="28" bestFit="1" customWidth="1"/>
    <col min="8707" max="8707" width="19.44140625" style="28" bestFit="1" customWidth="1"/>
    <col min="8708" max="8708" width="14.6640625" style="28" bestFit="1" customWidth="1"/>
    <col min="8709" max="8709" width="8.109375" style="28" customWidth="1"/>
    <col min="8710" max="8710" width="9.6640625" style="28" customWidth="1"/>
    <col min="8711" max="8711" width="10.88671875" style="28" customWidth="1"/>
    <col min="8712" max="8712" width="9.5546875" style="28" customWidth="1"/>
    <col min="8713" max="8713" width="10.6640625" style="28" customWidth="1"/>
    <col min="8714" max="8714" width="12.44140625" style="28" bestFit="1" customWidth="1"/>
    <col min="8715" max="8715" width="8.44140625" style="28" customWidth="1"/>
    <col min="8716" max="8716" width="8.5546875" style="28" customWidth="1"/>
    <col min="8717" max="8721" width="11.5546875" style="28" bestFit="1" customWidth="1"/>
    <col min="8722" max="8737" width="11" style="28" bestFit="1" customWidth="1"/>
    <col min="8738" max="8740" width="9.5546875" style="28" bestFit="1" customWidth="1"/>
    <col min="8741" max="8741" width="12.88671875" style="28" bestFit="1" customWidth="1"/>
    <col min="8742" max="8752" width="12.44140625" style="28" bestFit="1" customWidth="1"/>
    <col min="8753" max="8788" width="9.88671875" style="28" bestFit="1" customWidth="1"/>
    <col min="8789" max="8822" width="10" style="28" bestFit="1" customWidth="1"/>
    <col min="8823" max="8842" width="11" style="28" bestFit="1" customWidth="1"/>
    <col min="8843" max="8849" width="12.5546875" style="28" bestFit="1" customWidth="1"/>
    <col min="8850" max="8850" width="11.5546875" style="28" bestFit="1" customWidth="1"/>
    <col min="8851" max="8859" width="12.5546875" style="28" bestFit="1" customWidth="1"/>
    <col min="8860" max="8959" width="9.33203125" style="28" bestFit="1" customWidth="1"/>
    <col min="8960" max="8960" width="9.109375" style="28"/>
    <col min="8961" max="8961" width="8.44140625" style="28" customWidth="1"/>
    <col min="8962" max="8962" width="10.88671875" style="28" bestFit="1" customWidth="1"/>
    <col min="8963" max="8963" width="19.44140625" style="28" bestFit="1" customWidth="1"/>
    <col min="8964" max="8964" width="14.6640625" style="28" bestFit="1" customWidth="1"/>
    <col min="8965" max="8965" width="8.109375" style="28" customWidth="1"/>
    <col min="8966" max="8966" width="9.6640625" style="28" customWidth="1"/>
    <col min="8967" max="8967" width="10.88671875" style="28" customWidth="1"/>
    <col min="8968" max="8968" width="9.5546875" style="28" customWidth="1"/>
    <col min="8969" max="8969" width="10.6640625" style="28" customWidth="1"/>
    <col min="8970" max="8970" width="12.44140625" style="28" bestFit="1" customWidth="1"/>
    <col min="8971" max="8971" width="8.44140625" style="28" customWidth="1"/>
    <col min="8972" max="8972" width="8.5546875" style="28" customWidth="1"/>
    <col min="8973" max="8977" width="11.5546875" style="28" bestFit="1" customWidth="1"/>
    <col min="8978" max="8993" width="11" style="28" bestFit="1" customWidth="1"/>
    <col min="8994" max="8996" width="9.5546875" style="28" bestFit="1" customWidth="1"/>
    <col min="8997" max="8997" width="12.88671875" style="28" bestFit="1" customWidth="1"/>
    <col min="8998" max="9008" width="12.44140625" style="28" bestFit="1" customWidth="1"/>
    <col min="9009" max="9044" width="9.88671875" style="28" bestFit="1" customWidth="1"/>
    <col min="9045" max="9078" width="10" style="28" bestFit="1" customWidth="1"/>
    <col min="9079" max="9098" width="11" style="28" bestFit="1" customWidth="1"/>
    <col min="9099" max="9105" width="12.5546875" style="28" bestFit="1" customWidth="1"/>
    <col min="9106" max="9106" width="11.5546875" style="28" bestFit="1" customWidth="1"/>
    <col min="9107" max="9115" width="12.5546875" style="28" bestFit="1" customWidth="1"/>
    <col min="9116" max="9215" width="9.33203125" style="28" bestFit="1" customWidth="1"/>
    <col min="9216" max="9216" width="9.109375" style="28"/>
    <col min="9217" max="9217" width="8.44140625" style="28" customWidth="1"/>
    <col min="9218" max="9218" width="10.88671875" style="28" bestFit="1" customWidth="1"/>
    <col min="9219" max="9219" width="19.44140625" style="28" bestFit="1" customWidth="1"/>
    <col min="9220" max="9220" width="14.6640625" style="28" bestFit="1" customWidth="1"/>
    <col min="9221" max="9221" width="8.109375" style="28" customWidth="1"/>
    <col min="9222" max="9222" width="9.6640625" style="28" customWidth="1"/>
    <col min="9223" max="9223" width="10.88671875" style="28" customWidth="1"/>
    <col min="9224" max="9224" width="9.5546875" style="28" customWidth="1"/>
    <col min="9225" max="9225" width="10.6640625" style="28" customWidth="1"/>
    <col min="9226" max="9226" width="12.44140625" style="28" bestFit="1" customWidth="1"/>
    <col min="9227" max="9227" width="8.44140625" style="28" customWidth="1"/>
    <col min="9228" max="9228" width="8.5546875" style="28" customWidth="1"/>
    <col min="9229" max="9233" width="11.5546875" style="28" bestFit="1" customWidth="1"/>
    <col min="9234" max="9249" width="11" style="28" bestFit="1" customWidth="1"/>
    <col min="9250" max="9252" width="9.5546875" style="28" bestFit="1" customWidth="1"/>
    <col min="9253" max="9253" width="12.88671875" style="28" bestFit="1" customWidth="1"/>
    <col min="9254" max="9264" width="12.44140625" style="28" bestFit="1" customWidth="1"/>
    <col min="9265" max="9300" width="9.88671875" style="28" bestFit="1" customWidth="1"/>
    <col min="9301" max="9334" width="10" style="28" bestFit="1" customWidth="1"/>
    <col min="9335" max="9354" width="11" style="28" bestFit="1" customWidth="1"/>
    <col min="9355" max="9361" width="12.5546875" style="28" bestFit="1" customWidth="1"/>
    <col min="9362" max="9362" width="11.5546875" style="28" bestFit="1" customWidth="1"/>
    <col min="9363" max="9371" width="12.5546875" style="28" bestFit="1" customWidth="1"/>
    <col min="9372" max="9471" width="9.33203125" style="28" bestFit="1" customWidth="1"/>
    <col min="9472" max="9472" width="9.109375" style="28"/>
    <col min="9473" max="9473" width="8.44140625" style="28" customWidth="1"/>
    <col min="9474" max="9474" width="10.88671875" style="28" bestFit="1" customWidth="1"/>
    <col min="9475" max="9475" width="19.44140625" style="28" bestFit="1" customWidth="1"/>
    <col min="9476" max="9476" width="14.6640625" style="28" bestFit="1" customWidth="1"/>
    <col min="9477" max="9477" width="8.109375" style="28" customWidth="1"/>
    <col min="9478" max="9478" width="9.6640625" style="28" customWidth="1"/>
    <col min="9479" max="9479" width="10.88671875" style="28" customWidth="1"/>
    <col min="9480" max="9480" width="9.5546875" style="28" customWidth="1"/>
    <col min="9481" max="9481" width="10.6640625" style="28" customWidth="1"/>
    <col min="9482" max="9482" width="12.44140625" style="28" bestFit="1" customWidth="1"/>
    <col min="9483" max="9483" width="8.44140625" style="28" customWidth="1"/>
    <col min="9484" max="9484" width="8.5546875" style="28" customWidth="1"/>
    <col min="9485" max="9489" width="11.5546875" style="28" bestFit="1" customWidth="1"/>
    <col min="9490" max="9505" width="11" style="28" bestFit="1" customWidth="1"/>
    <col min="9506" max="9508" width="9.5546875" style="28" bestFit="1" customWidth="1"/>
    <col min="9509" max="9509" width="12.88671875" style="28" bestFit="1" customWidth="1"/>
    <col min="9510" max="9520" width="12.44140625" style="28" bestFit="1" customWidth="1"/>
    <col min="9521" max="9556" width="9.88671875" style="28" bestFit="1" customWidth="1"/>
    <col min="9557" max="9590" width="10" style="28" bestFit="1" customWidth="1"/>
    <col min="9591" max="9610" width="11" style="28" bestFit="1" customWidth="1"/>
    <col min="9611" max="9617" width="12.5546875" style="28" bestFit="1" customWidth="1"/>
    <col min="9618" max="9618" width="11.5546875" style="28" bestFit="1" customWidth="1"/>
    <col min="9619" max="9627" width="12.5546875" style="28" bestFit="1" customWidth="1"/>
    <col min="9628" max="9727" width="9.33203125" style="28" bestFit="1" customWidth="1"/>
    <col min="9728" max="9728" width="9.109375" style="28"/>
    <col min="9729" max="9729" width="8.44140625" style="28" customWidth="1"/>
    <col min="9730" max="9730" width="10.88671875" style="28" bestFit="1" customWidth="1"/>
    <col min="9731" max="9731" width="19.44140625" style="28" bestFit="1" customWidth="1"/>
    <col min="9732" max="9732" width="14.6640625" style="28" bestFit="1" customWidth="1"/>
    <col min="9733" max="9733" width="8.109375" style="28" customWidth="1"/>
    <col min="9734" max="9734" width="9.6640625" style="28" customWidth="1"/>
    <col min="9735" max="9735" width="10.88671875" style="28" customWidth="1"/>
    <col min="9736" max="9736" width="9.5546875" style="28" customWidth="1"/>
    <col min="9737" max="9737" width="10.6640625" style="28" customWidth="1"/>
    <col min="9738" max="9738" width="12.44140625" style="28" bestFit="1" customWidth="1"/>
    <col min="9739" max="9739" width="8.44140625" style="28" customWidth="1"/>
    <col min="9740" max="9740" width="8.5546875" style="28" customWidth="1"/>
    <col min="9741" max="9745" width="11.5546875" style="28" bestFit="1" customWidth="1"/>
    <col min="9746" max="9761" width="11" style="28" bestFit="1" customWidth="1"/>
    <col min="9762" max="9764" width="9.5546875" style="28" bestFit="1" customWidth="1"/>
    <col min="9765" max="9765" width="12.88671875" style="28" bestFit="1" customWidth="1"/>
    <col min="9766" max="9776" width="12.44140625" style="28" bestFit="1" customWidth="1"/>
    <col min="9777" max="9812" width="9.88671875" style="28" bestFit="1" customWidth="1"/>
    <col min="9813" max="9846" width="10" style="28" bestFit="1" customWidth="1"/>
    <col min="9847" max="9866" width="11" style="28" bestFit="1" customWidth="1"/>
    <col min="9867" max="9873" width="12.5546875" style="28" bestFit="1" customWidth="1"/>
    <col min="9874" max="9874" width="11.5546875" style="28" bestFit="1" customWidth="1"/>
    <col min="9875" max="9883" width="12.5546875" style="28" bestFit="1" customWidth="1"/>
    <col min="9884" max="9983" width="9.33203125" style="28" bestFit="1" customWidth="1"/>
    <col min="9984" max="9984" width="9.109375" style="28"/>
    <col min="9985" max="9985" width="8.44140625" style="28" customWidth="1"/>
    <col min="9986" max="9986" width="10.88671875" style="28" bestFit="1" customWidth="1"/>
    <col min="9987" max="9987" width="19.44140625" style="28" bestFit="1" customWidth="1"/>
    <col min="9988" max="9988" width="14.6640625" style="28" bestFit="1" customWidth="1"/>
    <col min="9989" max="9989" width="8.109375" style="28" customWidth="1"/>
    <col min="9990" max="9990" width="9.6640625" style="28" customWidth="1"/>
    <col min="9991" max="9991" width="10.88671875" style="28" customWidth="1"/>
    <col min="9992" max="9992" width="9.5546875" style="28" customWidth="1"/>
    <col min="9993" max="9993" width="10.6640625" style="28" customWidth="1"/>
    <col min="9994" max="9994" width="12.44140625" style="28" bestFit="1" customWidth="1"/>
    <col min="9995" max="9995" width="8.44140625" style="28" customWidth="1"/>
    <col min="9996" max="9996" width="8.5546875" style="28" customWidth="1"/>
    <col min="9997" max="10001" width="11.5546875" style="28" bestFit="1" customWidth="1"/>
    <col min="10002" max="10017" width="11" style="28" bestFit="1" customWidth="1"/>
    <col min="10018" max="10020" width="9.5546875" style="28" bestFit="1" customWidth="1"/>
    <col min="10021" max="10021" width="12.88671875" style="28" bestFit="1" customWidth="1"/>
    <col min="10022" max="10032" width="12.44140625" style="28" bestFit="1" customWidth="1"/>
    <col min="10033" max="10068" width="9.88671875" style="28" bestFit="1" customWidth="1"/>
    <col min="10069" max="10102" width="10" style="28" bestFit="1" customWidth="1"/>
    <col min="10103" max="10122" width="11" style="28" bestFit="1" customWidth="1"/>
    <col min="10123" max="10129" width="12.5546875" style="28" bestFit="1" customWidth="1"/>
    <col min="10130" max="10130" width="11.5546875" style="28" bestFit="1" customWidth="1"/>
    <col min="10131" max="10139" width="12.5546875" style="28" bestFit="1" customWidth="1"/>
    <col min="10140" max="10239" width="9.33203125" style="28" bestFit="1" customWidth="1"/>
    <col min="10240" max="10240" width="9.109375" style="28"/>
    <col min="10241" max="10241" width="8.44140625" style="28" customWidth="1"/>
    <col min="10242" max="10242" width="10.88671875" style="28" bestFit="1" customWidth="1"/>
    <col min="10243" max="10243" width="19.44140625" style="28" bestFit="1" customWidth="1"/>
    <col min="10244" max="10244" width="14.6640625" style="28" bestFit="1" customWidth="1"/>
    <col min="10245" max="10245" width="8.109375" style="28" customWidth="1"/>
    <col min="10246" max="10246" width="9.6640625" style="28" customWidth="1"/>
    <col min="10247" max="10247" width="10.88671875" style="28" customWidth="1"/>
    <col min="10248" max="10248" width="9.5546875" style="28" customWidth="1"/>
    <col min="10249" max="10249" width="10.6640625" style="28" customWidth="1"/>
    <col min="10250" max="10250" width="12.44140625" style="28" bestFit="1" customWidth="1"/>
    <col min="10251" max="10251" width="8.44140625" style="28" customWidth="1"/>
    <col min="10252" max="10252" width="8.5546875" style="28" customWidth="1"/>
    <col min="10253" max="10257" width="11.5546875" style="28" bestFit="1" customWidth="1"/>
    <col min="10258" max="10273" width="11" style="28" bestFit="1" customWidth="1"/>
    <col min="10274" max="10276" width="9.5546875" style="28" bestFit="1" customWidth="1"/>
    <col min="10277" max="10277" width="12.88671875" style="28" bestFit="1" customWidth="1"/>
    <col min="10278" max="10288" width="12.44140625" style="28" bestFit="1" customWidth="1"/>
    <col min="10289" max="10324" width="9.88671875" style="28" bestFit="1" customWidth="1"/>
    <col min="10325" max="10358" width="10" style="28" bestFit="1" customWidth="1"/>
    <col min="10359" max="10378" width="11" style="28" bestFit="1" customWidth="1"/>
    <col min="10379" max="10385" width="12.5546875" style="28" bestFit="1" customWidth="1"/>
    <col min="10386" max="10386" width="11.5546875" style="28" bestFit="1" customWidth="1"/>
    <col min="10387" max="10395" width="12.5546875" style="28" bestFit="1" customWidth="1"/>
    <col min="10396" max="10495" width="9.33203125" style="28" bestFit="1" customWidth="1"/>
    <col min="10496" max="10496" width="9.109375" style="28"/>
    <col min="10497" max="10497" width="8.44140625" style="28" customWidth="1"/>
    <col min="10498" max="10498" width="10.88671875" style="28" bestFit="1" customWidth="1"/>
    <col min="10499" max="10499" width="19.44140625" style="28" bestFit="1" customWidth="1"/>
    <col min="10500" max="10500" width="14.6640625" style="28" bestFit="1" customWidth="1"/>
    <col min="10501" max="10501" width="8.109375" style="28" customWidth="1"/>
    <col min="10502" max="10502" width="9.6640625" style="28" customWidth="1"/>
    <col min="10503" max="10503" width="10.88671875" style="28" customWidth="1"/>
    <col min="10504" max="10504" width="9.5546875" style="28" customWidth="1"/>
    <col min="10505" max="10505" width="10.6640625" style="28" customWidth="1"/>
    <col min="10506" max="10506" width="12.44140625" style="28" bestFit="1" customWidth="1"/>
    <col min="10507" max="10507" width="8.44140625" style="28" customWidth="1"/>
    <col min="10508" max="10508" width="8.5546875" style="28" customWidth="1"/>
    <col min="10509" max="10513" width="11.5546875" style="28" bestFit="1" customWidth="1"/>
    <col min="10514" max="10529" width="11" style="28" bestFit="1" customWidth="1"/>
    <col min="10530" max="10532" width="9.5546875" style="28" bestFit="1" customWidth="1"/>
    <col min="10533" max="10533" width="12.88671875" style="28" bestFit="1" customWidth="1"/>
    <col min="10534" max="10544" width="12.44140625" style="28" bestFit="1" customWidth="1"/>
    <col min="10545" max="10580" width="9.88671875" style="28" bestFit="1" customWidth="1"/>
    <col min="10581" max="10614" width="10" style="28" bestFit="1" customWidth="1"/>
    <col min="10615" max="10634" width="11" style="28" bestFit="1" customWidth="1"/>
    <col min="10635" max="10641" width="12.5546875" style="28" bestFit="1" customWidth="1"/>
    <col min="10642" max="10642" width="11.5546875" style="28" bestFit="1" customWidth="1"/>
    <col min="10643" max="10651" width="12.5546875" style="28" bestFit="1" customWidth="1"/>
    <col min="10652" max="10751" width="9.33203125" style="28" bestFit="1" customWidth="1"/>
    <col min="10752" max="10752" width="9.109375" style="28"/>
    <col min="10753" max="10753" width="8.44140625" style="28" customWidth="1"/>
    <col min="10754" max="10754" width="10.88671875" style="28" bestFit="1" customWidth="1"/>
    <col min="10755" max="10755" width="19.44140625" style="28" bestFit="1" customWidth="1"/>
    <col min="10756" max="10756" width="14.6640625" style="28" bestFit="1" customWidth="1"/>
    <col min="10757" max="10757" width="8.109375" style="28" customWidth="1"/>
    <col min="10758" max="10758" width="9.6640625" style="28" customWidth="1"/>
    <col min="10759" max="10759" width="10.88671875" style="28" customWidth="1"/>
    <col min="10760" max="10760" width="9.5546875" style="28" customWidth="1"/>
    <col min="10761" max="10761" width="10.6640625" style="28" customWidth="1"/>
    <col min="10762" max="10762" width="12.44140625" style="28" bestFit="1" customWidth="1"/>
    <col min="10763" max="10763" width="8.44140625" style="28" customWidth="1"/>
    <col min="10764" max="10764" width="8.5546875" style="28" customWidth="1"/>
    <col min="10765" max="10769" width="11.5546875" style="28" bestFit="1" customWidth="1"/>
    <col min="10770" max="10785" width="11" style="28" bestFit="1" customWidth="1"/>
    <col min="10786" max="10788" width="9.5546875" style="28" bestFit="1" customWidth="1"/>
    <col min="10789" max="10789" width="12.88671875" style="28" bestFit="1" customWidth="1"/>
    <col min="10790" max="10800" width="12.44140625" style="28" bestFit="1" customWidth="1"/>
    <col min="10801" max="10836" width="9.88671875" style="28" bestFit="1" customWidth="1"/>
    <col min="10837" max="10870" width="10" style="28" bestFit="1" customWidth="1"/>
    <col min="10871" max="10890" width="11" style="28" bestFit="1" customWidth="1"/>
    <col min="10891" max="10897" width="12.5546875" style="28" bestFit="1" customWidth="1"/>
    <col min="10898" max="10898" width="11.5546875" style="28" bestFit="1" customWidth="1"/>
    <col min="10899" max="10907" width="12.5546875" style="28" bestFit="1" customWidth="1"/>
    <col min="10908" max="11007" width="9.33203125" style="28" bestFit="1" customWidth="1"/>
    <col min="11008" max="11008" width="9.109375" style="28"/>
    <col min="11009" max="11009" width="8.44140625" style="28" customWidth="1"/>
    <col min="11010" max="11010" width="10.88671875" style="28" bestFit="1" customWidth="1"/>
    <col min="11011" max="11011" width="19.44140625" style="28" bestFit="1" customWidth="1"/>
    <col min="11012" max="11012" width="14.6640625" style="28" bestFit="1" customWidth="1"/>
    <col min="11013" max="11013" width="8.109375" style="28" customWidth="1"/>
    <col min="11014" max="11014" width="9.6640625" style="28" customWidth="1"/>
    <col min="11015" max="11015" width="10.88671875" style="28" customWidth="1"/>
    <col min="11016" max="11016" width="9.5546875" style="28" customWidth="1"/>
    <col min="11017" max="11017" width="10.6640625" style="28" customWidth="1"/>
    <col min="11018" max="11018" width="12.44140625" style="28" bestFit="1" customWidth="1"/>
    <col min="11019" max="11019" width="8.44140625" style="28" customWidth="1"/>
    <col min="11020" max="11020" width="8.5546875" style="28" customWidth="1"/>
    <col min="11021" max="11025" width="11.5546875" style="28" bestFit="1" customWidth="1"/>
    <col min="11026" max="11041" width="11" style="28" bestFit="1" customWidth="1"/>
    <col min="11042" max="11044" width="9.5546875" style="28" bestFit="1" customWidth="1"/>
    <col min="11045" max="11045" width="12.88671875" style="28" bestFit="1" customWidth="1"/>
    <col min="11046" max="11056" width="12.44140625" style="28" bestFit="1" customWidth="1"/>
    <col min="11057" max="11092" width="9.88671875" style="28" bestFit="1" customWidth="1"/>
    <col min="11093" max="11126" width="10" style="28" bestFit="1" customWidth="1"/>
    <col min="11127" max="11146" width="11" style="28" bestFit="1" customWidth="1"/>
    <col min="11147" max="11153" width="12.5546875" style="28" bestFit="1" customWidth="1"/>
    <col min="11154" max="11154" width="11.5546875" style="28" bestFit="1" customWidth="1"/>
    <col min="11155" max="11163" width="12.5546875" style="28" bestFit="1" customWidth="1"/>
    <col min="11164" max="11263" width="9.33203125" style="28" bestFit="1" customWidth="1"/>
    <col min="11264" max="11264" width="9.109375" style="28"/>
    <col min="11265" max="11265" width="8.44140625" style="28" customWidth="1"/>
    <col min="11266" max="11266" width="10.88671875" style="28" bestFit="1" customWidth="1"/>
    <col min="11267" max="11267" width="19.44140625" style="28" bestFit="1" customWidth="1"/>
    <col min="11268" max="11268" width="14.6640625" style="28" bestFit="1" customWidth="1"/>
    <col min="11269" max="11269" width="8.109375" style="28" customWidth="1"/>
    <col min="11270" max="11270" width="9.6640625" style="28" customWidth="1"/>
    <col min="11271" max="11271" width="10.88671875" style="28" customWidth="1"/>
    <col min="11272" max="11272" width="9.5546875" style="28" customWidth="1"/>
    <col min="11273" max="11273" width="10.6640625" style="28" customWidth="1"/>
    <col min="11274" max="11274" width="12.44140625" style="28" bestFit="1" customWidth="1"/>
    <col min="11275" max="11275" width="8.44140625" style="28" customWidth="1"/>
    <col min="11276" max="11276" width="8.5546875" style="28" customWidth="1"/>
    <col min="11277" max="11281" width="11.5546875" style="28" bestFit="1" customWidth="1"/>
    <col min="11282" max="11297" width="11" style="28" bestFit="1" customWidth="1"/>
    <col min="11298" max="11300" width="9.5546875" style="28" bestFit="1" customWidth="1"/>
    <col min="11301" max="11301" width="12.88671875" style="28" bestFit="1" customWidth="1"/>
    <col min="11302" max="11312" width="12.44140625" style="28" bestFit="1" customWidth="1"/>
    <col min="11313" max="11348" width="9.88671875" style="28" bestFit="1" customWidth="1"/>
    <col min="11349" max="11382" width="10" style="28" bestFit="1" customWidth="1"/>
    <col min="11383" max="11402" width="11" style="28" bestFit="1" customWidth="1"/>
    <col min="11403" max="11409" width="12.5546875" style="28" bestFit="1" customWidth="1"/>
    <col min="11410" max="11410" width="11.5546875" style="28" bestFit="1" customWidth="1"/>
    <col min="11411" max="11419" width="12.5546875" style="28" bestFit="1" customWidth="1"/>
    <col min="11420" max="11519" width="9.33203125" style="28" bestFit="1" customWidth="1"/>
    <col min="11520" max="11520" width="9.109375" style="28"/>
    <col min="11521" max="11521" width="8.44140625" style="28" customWidth="1"/>
    <col min="11522" max="11522" width="10.88671875" style="28" bestFit="1" customWidth="1"/>
    <col min="11523" max="11523" width="19.44140625" style="28" bestFit="1" customWidth="1"/>
    <col min="11524" max="11524" width="14.6640625" style="28" bestFit="1" customWidth="1"/>
    <col min="11525" max="11525" width="8.109375" style="28" customWidth="1"/>
    <col min="11526" max="11526" width="9.6640625" style="28" customWidth="1"/>
    <col min="11527" max="11527" width="10.88671875" style="28" customWidth="1"/>
    <col min="11528" max="11528" width="9.5546875" style="28" customWidth="1"/>
    <col min="11529" max="11529" width="10.6640625" style="28" customWidth="1"/>
    <col min="11530" max="11530" width="12.44140625" style="28" bestFit="1" customWidth="1"/>
    <col min="11531" max="11531" width="8.44140625" style="28" customWidth="1"/>
    <col min="11532" max="11532" width="8.5546875" style="28" customWidth="1"/>
    <col min="11533" max="11537" width="11.5546875" style="28" bestFit="1" customWidth="1"/>
    <col min="11538" max="11553" width="11" style="28" bestFit="1" customWidth="1"/>
    <col min="11554" max="11556" width="9.5546875" style="28" bestFit="1" customWidth="1"/>
    <col min="11557" max="11557" width="12.88671875" style="28" bestFit="1" customWidth="1"/>
    <col min="11558" max="11568" width="12.44140625" style="28" bestFit="1" customWidth="1"/>
    <col min="11569" max="11604" width="9.88671875" style="28" bestFit="1" customWidth="1"/>
    <col min="11605" max="11638" width="10" style="28" bestFit="1" customWidth="1"/>
    <col min="11639" max="11658" width="11" style="28" bestFit="1" customWidth="1"/>
    <col min="11659" max="11665" width="12.5546875" style="28" bestFit="1" customWidth="1"/>
    <col min="11666" max="11666" width="11.5546875" style="28" bestFit="1" customWidth="1"/>
    <col min="11667" max="11675" width="12.5546875" style="28" bestFit="1" customWidth="1"/>
    <col min="11676" max="11775" width="9.33203125" style="28" bestFit="1" customWidth="1"/>
    <col min="11776" max="11776" width="9.109375" style="28"/>
    <col min="11777" max="11777" width="8.44140625" style="28" customWidth="1"/>
    <col min="11778" max="11778" width="10.88671875" style="28" bestFit="1" customWidth="1"/>
    <col min="11779" max="11779" width="19.44140625" style="28" bestFit="1" customWidth="1"/>
    <col min="11780" max="11780" width="14.6640625" style="28" bestFit="1" customWidth="1"/>
    <col min="11781" max="11781" width="8.109375" style="28" customWidth="1"/>
    <col min="11782" max="11782" width="9.6640625" style="28" customWidth="1"/>
    <col min="11783" max="11783" width="10.88671875" style="28" customWidth="1"/>
    <col min="11784" max="11784" width="9.5546875" style="28" customWidth="1"/>
    <col min="11785" max="11785" width="10.6640625" style="28" customWidth="1"/>
    <col min="11786" max="11786" width="12.44140625" style="28" bestFit="1" customWidth="1"/>
    <col min="11787" max="11787" width="8.44140625" style="28" customWidth="1"/>
    <col min="11788" max="11788" width="8.5546875" style="28" customWidth="1"/>
    <col min="11789" max="11793" width="11.5546875" style="28" bestFit="1" customWidth="1"/>
    <col min="11794" max="11809" width="11" style="28" bestFit="1" customWidth="1"/>
    <col min="11810" max="11812" width="9.5546875" style="28" bestFit="1" customWidth="1"/>
    <col min="11813" max="11813" width="12.88671875" style="28" bestFit="1" customWidth="1"/>
    <col min="11814" max="11824" width="12.44140625" style="28" bestFit="1" customWidth="1"/>
    <col min="11825" max="11860" width="9.88671875" style="28" bestFit="1" customWidth="1"/>
    <col min="11861" max="11894" width="10" style="28" bestFit="1" customWidth="1"/>
    <col min="11895" max="11914" width="11" style="28" bestFit="1" customWidth="1"/>
    <col min="11915" max="11921" width="12.5546875" style="28" bestFit="1" customWidth="1"/>
    <col min="11922" max="11922" width="11.5546875" style="28" bestFit="1" customWidth="1"/>
    <col min="11923" max="11931" width="12.5546875" style="28" bestFit="1" customWidth="1"/>
    <col min="11932" max="12031" width="9.33203125" style="28" bestFit="1" customWidth="1"/>
    <col min="12032" max="12032" width="9.109375" style="28"/>
    <col min="12033" max="12033" width="8.44140625" style="28" customWidth="1"/>
    <col min="12034" max="12034" width="10.88671875" style="28" bestFit="1" customWidth="1"/>
    <col min="12035" max="12035" width="19.44140625" style="28" bestFit="1" customWidth="1"/>
    <col min="12036" max="12036" width="14.6640625" style="28" bestFit="1" customWidth="1"/>
    <col min="12037" max="12037" width="8.109375" style="28" customWidth="1"/>
    <col min="12038" max="12038" width="9.6640625" style="28" customWidth="1"/>
    <col min="12039" max="12039" width="10.88671875" style="28" customWidth="1"/>
    <col min="12040" max="12040" width="9.5546875" style="28" customWidth="1"/>
    <col min="12041" max="12041" width="10.6640625" style="28" customWidth="1"/>
    <col min="12042" max="12042" width="12.44140625" style="28" bestFit="1" customWidth="1"/>
    <col min="12043" max="12043" width="8.44140625" style="28" customWidth="1"/>
    <col min="12044" max="12044" width="8.5546875" style="28" customWidth="1"/>
    <col min="12045" max="12049" width="11.5546875" style="28" bestFit="1" customWidth="1"/>
    <col min="12050" max="12065" width="11" style="28" bestFit="1" customWidth="1"/>
    <col min="12066" max="12068" width="9.5546875" style="28" bestFit="1" customWidth="1"/>
    <col min="12069" max="12069" width="12.88671875" style="28" bestFit="1" customWidth="1"/>
    <col min="12070" max="12080" width="12.44140625" style="28" bestFit="1" customWidth="1"/>
    <col min="12081" max="12116" width="9.88671875" style="28" bestFit="1" customWidth="1"/>
    <col min="12117" max="12150" width="10" style="28" bestFit="1" customWidth="1"/>
    <col min="12151" max="12170" width="11" style="28" bestFit="1" customWidth="1"/>
    <col min="12171" max="12177" width="12.5546875" style="28" bestFit="1" customWidth="1"/>
    <col min="12178" max="12178" width="11.5546875" style="28" bestFit="1" customWidth="1"/>
    <col min="12179" max="12187" width="12.5546875" style="28" bestFit="1" customWidth="1"/>
    <col min="12188" max="12287" width="9.33203125" style="28" bestFit="1" customWidth="1"/>
    <col min="12288" max="12288" width="9.109375" style="28"/>
    <col min="12289" max="12289" width="8.44140625" style="28" customWidth="1"/>
    <col min="12290" max="12290" width="10.88671875" style="28" bestFit="1" customWidth="1"/>
    <col min="12291" max="12291" width="19.44140625" style="28" bestFit="1" customWidth="1"/>
    <col min="12292" max="12292" width="14.6640625" style="28" bestFit="1" customWidth="1"/>
    <col min="12293" max="12293" width="8.109375" style="28" customWidth="1"/>
    <col min="12294" max="12294" width="9.6640625" style="28" customWidth="1"/>
    <col min="12295" max="12295" width="10.88671875" style="28" customWidth="1"/>
    <col min="12296" max="12296" width="9.5546875" style="28" customWidth="1"/>
    <col min="12297" max="12297" width="10.6640625" style="28" customWidth="1"/>
    <col min="12298" max="12298" width="12.44140625" style="28" bestFit="1" customWidth="1"/>
    <col min="12299" max="12299" width="8.44140625" style="28" customWidth="1"/>
    <col min="12300" max="12300" width="8.5546875" style="28" customWidth="1"/>
    <col min="12301" max="12305" width="11.5546875" style="28" bestFit="1" customWidth="1"/>
    <col min="12306" max="12321" width="11" style="28" bestFit="1" customWidth="1"/>
    <col min="12322" max="12324" width="9.5546875" style="28" bestFit="1" customWidth="1"/>
    <col min="12325" max="12325" width="12.88671875" style="28" bestFit="1" customWidth="1"/>
    <col min="12326" max="12336" width="12.44140625" style="28" bestFit="1" customWidth="1"/>
    <col min="12337" max="12372" width="9.88671875" style="28" bestFit="1" customWidth="1"/>
    <col min="12373" max="12406" width="10" style="28" bestFit="1" customWidth="1"/>
    <col min="12407" max="12426" width="11" style="28" bestFit="1" customWidth="1"/>
    <col min="12427" max="12433" width="12.5546875" style="28" bestFit="1" customWidth="1"/>
    <col min="12434" max="12434" width="11.5546875" style="28" bestFit="1" customWidth="1"/>
    <col min="12435" max="12443" width="12.5546875" style="28" bestFit="1" customWidth="1"/>
    <col min="12444" max="12543" width="9.33203125" style="28" bestFit="1" customWidth="1"/>
    <col min="12544" max="12544" width="9.109375" style="28"/>
    <col min="12545" max="12545" width="8.44140625" style="28" customWidth="1"/>
    <col min="12546" max="12546" width="10.88671875" style="28" bestFit="1" customWidth="1"/>
    <col min="12547" max="12547" width="19.44140625" style="28" bestFit="1" customWidth="1"/>
    <col min="12548" max="12548" width="14.6640625" style="28" bestFit="1" customWidth="1"/>
    <col min="12549" max="12549" width="8.109375" style="28" customWidth="1"/>
    <col min="12550" max="12550" width="9.6640625" style="28" customWidth="1"/>
    <col min="12551" max="12551" width="10.88671875" style="28" customWidth="1"/>
    <col min="12552" max="12552" width="9.5546875" style="28" customWidth="1"/>
    <col min="12553" max="12553" width="10.6640625" style="28" customWidth="1"/>
    <col min="12554" max="12554" width="12.44140625" style="28" bestFit="1" customWidth="1"/>
    <col min="12555" max="12555" width="8.44140625" style="28" customWidth="1"/>
    <col min="12556" max="12556" width="8.5546875" style="28" customWidth="1"/>
    <col min="12557" max="12561" width="11.5546875" style="28" bestFit="1" customWidth="1"/>
    <col min="12562" max="12577" width="11" style="28" bestFit="1" customWidth="1"/>
    <col min="12578" max="12580" width="9.5546875" style="28" bestFit="1" customWidth="1"/>
    <col min="12581" max="12581" width="12.88671875" style="28" bestFit="1" customWidth="1"/>
    <col min="12582" max="12592" width="12.44140625" style="28" bestFit="1" customWidth="1"/>
    <col min="12593" max="12628" width="9.88671875" style="28" bestFit="1" customWidth="1"/>
    <col min="12629" max="12662" width="10" style="28" bestFit="1" customWidth="1"/>
    <col min="12663" max="12682" width="11" style="28" bestFit="1" customWidth="1"/>
    <col min="12683" max="12689" width="12.5546875" style="28" bestFit="1" customWidth="1"/>
    <col min="12690" max="12690" width="11.5546875" style="28" bestFit="1" customWidth="1"/>
    <col min="12691" max="12699" width="12.5546875" style="28" bestFit="1" customWidth="1"/>
    <col min="12700" max="12799" width="9.33203125" style="28" bestFit="1" customWidth="1"/>
    <col min="12800" max="12800" width="9.109375" style="28"/>
    <col min="12801" max="12801" width="8.44140625" style="28" customWidth="1"/>
    <col min="12802" max="12802" width="10.88671875" style="28" bestFit="1" customWidth="1"/>
    <col min="12803" max="12803" width="19.44140625" style="28" bestFit="1" customWidth="1"/>
    <col min="12804" max="12804" width="14.6640625" style="28" bestFit="1" customWidth="1"/>
    <col min="12805" max="12805" width="8.109375" style="28" customWidth="1"/>
    <col min="12806" max="12806" width="9.6640625" style="28" customWidth="1"/>
    <col min="12807" max="12807" width="10.88671875" style="28" customWidth="1"/>
    <col min="12808" max="12808" width="9.5546875" style="28" customWidth="1"/>
    <col min="12809" max="12809" width="10.6640625" style="28" customWidth="1"/>
    <col min="12810" max="12810" width="12.44140625" style="28" bestFit="1" customWidth="1"/>
    <col min="12811" max="12811" width="8.44140625" style="28" customWidth="1"/>
    <col min="12812" max="12812" width="8.5546875" style="28" customWidth="1"/>
    <col min="12813" max="12817" width="11.5546875" style="28" bestFit="1" customWidth="1"/>
    <col min="12818" max="12833" width="11" style="28" bestFit="1" customWidth="1"/>
    <col min="12834" max="12836" width="9.5546875" style="28" bestFit="1" customWidth="1"/>
    <col min="12837" max="12837" width="12.88671875" style="28" bestFit="1" customWidth="1"/>
    <col min="12838" max="12848" width="12.44140625" style="28" bestFit="1" customWidth="1"/>
    <col min="12849" max="12884" width="9.88671875" style="28" bestFit="1" customWidth="1"/>
    <col min="12885" max="12918" width="10" style="28" bestFit="1" customWidth="1"/>
    <col min="12919" max="12938" width="11" style="28" bestFit="1" customWidth="1"/>
    <col min="12939" max="12945" width="12.5546875" style="28" bestFit="1" customWidth="1"/>
    <col min="12946" max="12946" width="11.5546875" style="28" bestFit="1" customWidth="1"/>
    <col min="12947" max="12955" width="12.5546875" style="28" bestFit="1" customWidth="1"/>
    <col min="12956" max="13055" width="9.33203125" style="28" bestFit="1" customWidth="1"/>
    <col min="13056" max="13056" width="9.109375" style="28"/>
    <col min="13057" max="13057" width="8.44140625" style="28" customWidth="1"/>
    <col min="13058" max="13058" width="10.88671875" style="28" bestFit="1" customWidth="1"/>
    <col min="13059" max="13059" width="19.44140625" style="28" bestFit="1" customWidth="1"/>
    <col min="13060" max="13060" width="14.6640625" style="28" bestFit="1" customWidth="1"/>
    <col min="13061" max="13061" width="8.109375" style="28" customWidth="1"/>
    <col min="13062" max="13062" width="9.6640625" style="28" customWidth="1"/>
    <col min="13063" max="13063" width="10.88671875" style="28" customWidth="1"/>
    <col min="13064" max="13064" width="9.5546875" style="28" customWidth="1"/>
    <col min="13065" max="13065" width="10.6640625" style="28" customWidth="1"/>
    <col min="13066" max="13066" width="12.44140625" style="28" bestFit="1" customWidth="1"/>
    <col min="13067" max="13067" width="8.44140625" style="28" customWidth="1"/>
    <col min="13068" max="13068" width="8.5546875" style="28" customWidth="1"/>
    <col min="13069" max="13073" width="11.5546875" style="28" bestFit="1" customWidth="1"/>
    <col min="13074" max="13089" width="11" style="28" bestFit="1" customWidth="1"/>
    <col min="13090" max="13092" width="9.5546875" style="28" bestFit="1" customWidth="1"/>
    <col min="13093" max="13093" width="12.88671875" style="28" bestFit="1" customWidth="1"/>
    <col min="13094" max="13104" width="12.44140625" style="28" bestFit="1" customWidth="1"/>
    <col min="13105" max="13140" width="9.88671875" style="28" bestFit="1" customWidth="1"/>
    <col min="13141" max="13174" width="10" style="28" bestFit="1" customWidth="1"/>
    <col min="13175" max="13194" width="11" style="28" bestFit="1" customWidth="1"/>
    <col min="13195" max="13201" width="12.5546875" style="28" bestFit="1" customWidth="1"/>
    <col min="13202" max="13202" width="11.5546875" style="28" bestFit="1" customWidth="1"/>
    <col min="13203" max="13211" width="12.5546875" style="28" bestFit="1" customWidth="1"/>
    <col min="13212" max="13311" width="9.33203125" style="28" bestFit="1" customWidth="1"/>
    <col min="13312" max="13312" width="9.109375" style="28"/>
    <col min="13313" max="13313" width="8.44140625" style="28" customWidth="1"/>
    <col min="13314" max="13314" width="10.88671875" style="28" bestFit="1" customWidth="1"/>
    <col min="13315" max="13315" width="19.44140625" style="28" bestFit="1" customWidth="1"/>
    <col min="13316" max="13316" width="14.6640625" style="28" bestFit="1" customWidth="1"/>
    <col min="13317" max="13317" width="8.109375" style="28" customWidth="1"/>
    <col min="13318" max="13318" width="9.6640625" style="28" customWidth="1"/>
    <col min="13319" max="13319" width="10.88671875" style="28" customWidth="1"/>
    <col min="13320" max="13320" width="9.5546875" style="28" customWidth="1"/>
    <col min="13321" max="13321" width="10.6640625" style="28" customWidth="1"/>
    <col min="13322" max="13322" width="12.44140625" style="28" bestFit="1" customWidth="1"/>
    <col min="13323" max="13323" width="8.44140625" style="28" customWidth="1"/>
    <col min="13324" max="13324" width="8.5546875" style="28" customWidth="1"/>
    <col min="13325" max="13329" width="11.5546875" style="28" bestFit="1" customWidth="1"/>
    <col min="13330" max="13345" width="11" style="28" bestFit="1" customWidth="1"/>
    <col min="13346" max="13348" width="9.5546875" style="28" bestFit="1" customWidth="1"/>
    <col min="13349" max="13349" width="12.88671875" style="28" bestFit="1" customWidth="1"/>
    <col min="13350" max="13360" width="12.44140625" style="28" bestFit="1" customWidth="1"/>
    <col min="13361" max="13396" width="9.88671875" style="28" bestFit="1" customWidth="1"/>
    <col min="13397" max="13430" width="10" style="28" bestFit="1" customWidth="1"/>
    <col min="13431" max="13450" width="11" style="28" bestFit="1" customWidth="1"/>
    <col min="13451" max="13457" width="12.5546875" style="28" bestFit="1" customWidth="1"/>
    <col min="13458" max="13458" width="11.5546875" style="28" bestFit="1" customWidth="1"/>
    <col min="13459" max="13467" width="12.5546875" style="28" bestFit="1" customWidth="1"/>
    <col min="13468" max="13567" width="9.33203125" style="28" bestFit="1" customWidth="1"/>
    <col min="13568" max="13568" width="9.109375" style="28"/>
    <col min="13569" max="13569" width="8.44140625" style="28" customWidth="1"/>
    <col min="13570" max="13570" width="10.88671875" style="28" bestFit="1" customWidth="1"/>
    <col min="13571" max="13571" width="19.44140625" style="28" bestFit="1" customWidth="1"/>
    <col min="13572" max="13572" width="14.6640625" style="28" bestFit="1" customWidth="1"/>
    <col min="13573" max="13573" width="8.109375" style="28" customWidth="1"/>
    <col min="13574" max="13574" width="9.6640625" style="28" customWidth="1"/>
    <col min="13575" max="13575" width="10.88671875" style="28" customWidth="1"/>
    <col min="13576" max="13576" width="9.5546875" style="28" customWidth="1"/>
    <col min="13577" max="13577" width="10.6640625" style="28" customWidth="1"/>
    <col min="13578" max="13578" width="12.44140625" style="28" bestFit="1" customWidth="1"/>
    <col min="13579" max="13579" width="8.44140625" style="28" customWidth="1"/>
    <col min="13580" max="13580" width="8.5546875" style="28" customWidth="1"/>
    <col min="13581" max="13585" width="11.5546875" style="28" bestFit="1" customWidth="1"/>
    <col min="13586" max="13601" width="11" style="28" bestFit="1" customWidth="1"/>
    <col min="13602" max="13604" width="9.5546875" style="28" bestFit="1" customWidth="1"/>
    <col min="13605" max="13605" width="12.88671875" style="28" bestFit="1" customWidth="1"/>
    <col min="13606" max="13616" width="12.44140625" style="28" bestFit="1" customWidth="1"/>
    <col min="13617" max="13652" width="9.88671875" style="28" bestFit="1" customWidth="1"/>
    <col min="13653" max="13686" width="10" style="28" bestFit="1" customWidth="1"/>
    <col min="13687" max="13706" width="11" style="28" bestFit="1" customWidth="1"/>
    <col min="13707" max="13713" width="12.5546875" style="28" bestFit="1" customWidth="1"/>
    <col min="13714" max="13714" width="11.5546875" style="28" bestFit="1" customWidth="1"/>
    <col min="13715" max="13723" width="12.5546875" style="28" bestFit="1" customWidth="1"/>
    <col min="13724" max="13823" width="9.33203125" style="28" bestFit="1" customWidth="1"/>
    <col min="13824" max="13824" width="9.109375" style="28"/>
    <col min="13825" max="13825" width="8.44140625" style="28" customWidth="1"/>
    <col min="13826" max="13826" width="10.88671875" style="28" bestFit="1" customWidth="1"/>
    <col min="13827" max="13827" width="19.44140625" style="28" bestFit="1" customWidth="1"/>
    <col min="13828" max="13828" width="14.6640625" style="28" bestFit="1" customWidth="1"/>
    <col min="13829" max="13829" width="8.109375" style="28" customWidth="1"/>
    <col min="13830" max="13830" width="9.6640625" style="28" customWidth="1"/>
    <col min="13831" max="13831" width="10.88671875" style="28" customWidth="1"/>
    <col min="13832" max="13832" width="9.5546875" style="28" customWidth="1"/>
    <col min="13833" max="13833" width="10.6640625" style="28" customWidth="1"/>
    <col min="13834" max="13834" width="12.44140625" style="28" bestFit="1" customWidth="1"/>
    <col min="13835" max="13835" width="8.44140625" style="28" customWidth="1"/>
    <col min="13836" max="13836" width="8.5546875" style="28" customWidth="1"/>
    <col min="13837" max="13841" width="11.5546875" style="28" bestFit="1" customWidth="1"/>
    <col min="13842" max="13857" width="11" style="28" bestFit="1" customWidth="1"/>
    <col min="13858" max="13860" width="9.5546875" style="28" bestFit="1" customWidth="1"/>
    <col min="13861" max="13861" width="12.88671875" style="28" bestFit="1" customWidth="1"/>
    <col min="13862" max="13872" width="12.44140625" style="28" bestFit="1" customWidth="1"/>
    <col min="13873" max="13908" width="9.88671875" style="28" bestFit="1" customWidth="1"/>
    <col min="13909" max="13942" width="10" style="28" bestFit="1" customWidth="1"/>
    <col min="13943" max="13962" width="11" style="28" bestFit="1" customWidth="1"/>
    <col min="13963" max="13969" width="12.5546875" style="28" bestFit="1" customWidth="1"/>
    <col min="13970" max="13970" width="11.5546875" style="28" bestFit="1" customWidth="1"/>
    <col min="13971" max="13979" width="12.5546875" style="28" bestFit="1" customWidth="1"/>
    <col min="13980" max="14079" width="9.33203125" style="28" bestFit="1" customWidth="1"/>
    <col min="14080" max="14080" width="9.109375" style="28"/>
    <col min="14081" max="14081" width="8.44140625" style="28" customWidth="1"/>
    <col min="14082" max="14082" width="10.88671875" style="28" bestFit="1" customWidth="1"/>
    <col min="14083" max="14083" width="19.44140625" style="28" bestFit="1" customWidth="1"/>
    <col min="14084" max="14084" width="14.6640625" style="28" bestFit="1" customWidth="1"/>
    <col min="14085" max="14085" width="8.109375" style="28" customWidth="1"/>
    <col min="14086" max="14086" width="9.6640625" style="28" customWidth="1"/>
    <col min="14087" max="14087" width="10.88671875" style="28" customWidth="1"/>
    <col min="14088" max="14088" width="9.5546875" style="28" customWidth="1"/>
    <col min="14089" max="14089" width="10.6640625" style="28" customWidth="1"/>
    <col min="14090" max="14090" width="12.44140625" style="28" bestFit="1" customWidth="1"/>
    <col min="14091" max="14091" width="8.44140625" style="28" customWidth="1"/>
    <col min="14092" max="14092" width="8.5546875" style="28" customWidth="1"/>
    <col min="14093" max="14097" width="11.5546875" style="28" bestFit="1" customWidth="1"/>
    <col min="14098" max="14113" width="11" style="28" bestFit="1" customWidth="1"/>
    <col min="14114" max="14116" width="9.5546875" style="28" bestFit="1" customWidth="1"/>
    <col min="14117" max="14117" width="12.88671875" style="28" bestFit="1" customWidth="1"/>
    <col min="14118" max="14128" width="12.44140625" style="28" bestFit="1" customWidth="1"/>
    <col min="14129" max="14164" width="9.88671875" style="28" bestFit="1" customWidth="1"/>
    <col min="14165" max="14198" width="10" style="28" bestFit="1" customWidth="1"/>
    <col min="14199" max="14218" width="11" style="28" bestFit="1" customWidth="1"/>
    <col min="14219" max="14225" width="12.5546875" style="28" bestFit="1" customWidth="1"/>
    <col min="14226" max="14226" width="11.5546875" style="28" bestFit="1" customWidth="1"/>
    <col min="14227" max="14235" width="12.5546875" style="28" bestFit="1" customWidth="1"/>
    <col min="14236" max="14335" width="9.33203125" style="28" bestFit="1" customWidth="1"/>
    <col min="14336" max="14336" width="9.109375" style="28"/>
    <col min="14337" max="14337" width="8.44140625" style="28" customWidth="1"/>
    <col min="14338" max="14338" width="10.88671875" style="28" bestFit="1" customWidth="1"/>
    <col min="14339" max="14339" width="19.44140625" style="28" bestFit="1" customWidth="1"/>
    <col min="14340" max="14340" width="14.6640625" style="28" bestFit="1" customWidth="1"/>
    <col min="14341" max="14341" width="8.109375" style="28" customWidth="1"/>
    <col min="14342" max="14342" width="9.6640625" style="28" customWidth="1"/>
    <col min="14343" max="14343" width="10.88671875" style="28" customWidth="1"/>
    <col min="14344" max="14344" width="9.5546875" style="28" customWidth="1"/>
    <col min="14345" max="14345" width="10.6640625" style="28" customWidth="1"/>
    <col min="14346" max="14346" width="12.44140625" style="28" bestFit="1" customWidth="1"/>
    <col min="14347" max="14347" width="8.44140625" style="28" customWidth="1"/>
    <col min="14348" max="14348" width="8.5546875" style="28" customWidth="1"/>
    <col min="14349" max="14353" width="11.5546875" style="28" bestFit="1" customWidth="1"/>
    <col min="14354" max="14369" width="11" style="28" bestFit="1" customWidth="1"/>
    <col min="14370" max="14372" width="9.5546875" style="28" bestFit="1" customWidth="1"/>
    <col min="14373" max="14373" width="12.88671875" style="28" bestFit="1" customWidth="1"/>
    <col min="14374" max="14384" width="12.44140625" style="28" bestFit="1" customWidth="1"/>
    <col min="14385" max="14420" width="9.88671875" style="28" bestFit="1" customWidth="1"/>
    <col min="14421" max="14454" width="10" style="28" bestFit="1" customWidth="1"/>
    <col min="14455" max="14474" width="11" style="28" bestFit="1" customWidth="1"/>
    <col min="14475" max="14481" width="12.5546875" style="28" bestFit="1" customWidth="1"/>
    <col min="14482" max="14482" width="11.5546875" style="28" bestFit="1" customWidth="1"/>
    <col min="14483" max="14491" width="12.5546875" style="28" bestFit="1" customWidth="1"/>
    <col min="14492" max="14591" width="9.33203125" style="28" bestFit="1" customWidth="1"/>
    <col min="14592" max="14592" width="9.109375" style="28"/>
    <col min="14593" max="14593" width="8.44140625" style="28" customWidth="1"/>
    <col min="14594" max="14594" width="10.88671875" style="28" bestFit="1" customWidth="1"/>
    <col min="14595" max="14595" width="19.44140625" style="28" bestFit="1" customWidth="1"/>
    <col min="14596" max="14596" width="14.6640625" style="28" bestFit="1" customWidth="1"/>
    <col min="14597" max="14597" width="8.109375" style="28" customWidth="1"/>
    <col min="14598" max="14598" width="9.6640625" style="28" customWidth="1"/>
    <col min="14599" max="14599" width="10.88671875" style="28" customWidth="1"/>
    <col min="14600" max="14600" width="9.5546875" style="28" customWidth="1"/>
    <col min="14601" max="14601" width="10.6640625" style="28" customWidth="1"/>
    <col min="14602" max="14602" width="12.44140625" style="28" bestFit="1" customWidth="1"/>
    <col min="14603" max="14603" width="8.44140625" style="28" customWidth="1"/>
    <col min="14604" max="14604" width="8.5546875" style="28" customWidth="1"/>
    <col min="14605" max="14609" width="11.5546875" style="28" bestFit="1" customWidth="1"/>
    <col min="14610" max="14625" width="11" style="28" bestFit="1" customWidth="1"/>
    <col min="14626" max="14628" width="9.5546875" style="28" bestFit="1" customWidth="1"/>
    <col min="14629" max="14629" width="12.88671875" style="28" bestFit="1" customWidth="1"/>
    <col min="14630" max="14640" width="12.44140625" style="28" bestFit="1" customWidth="1"/>
    <col min="14641" max="14676" width="9.88671875" style="28" bestFit="1" customWidth="1"/>
    <col min="14677" max="14710" width="10" style="28" bestFit="1" customWidth="1"/>
    <col min="14711" max="14730" width="11" style="28" bestFit="1" customWidth="1"/>
    <col min="14731" max="14737" width="12.5546875" style="28" bestFit="1" customWidth="1"/>
    <col min="14738" max="14738" width="11.5546875" style="28" bestFit="1" customWidth="1"/>
    <col min="14739" max="14747" width="12.5546875" style="28" bestFit="1" customWidth="1"/>
    <col min="14748" max="14847" width="9.33203125" style="28" bestFit="1" customWidth="1"/>
    <col min="14848" max="14848" width="9.109375" style="28"/>
    <col min="14849" max="14849" width="8.44140625" style="28" customWidth="1"/>
    <col min="14850" max="14850" width="10.88671875" style="28" bestFit="1" customWidth="1"/>
    <col min="14851" max="14851" width="19.44140625" style="28" bestFit="1" customWidth="1"/>
    <col min="14852" max="14852" width="14.6640625" style="28" bestFit="1" customWidth="1"/>
    <col min="14853" max="14853" width="8.109375" style="28" customWidth="1"/>
    <col min="14854" max="14854" width="9.6640625" style="28" customWidth="1"/>
    <col min="14855" max="14855" width="10.88671875" style="28" customWidth="1"/>
    <col min="14856" max="14856" width="9.5546875" style="28" customWidth="1"/>
    <col min="14857" max="14857" width="10.6640625" style="28" customWidth="1"/>
    <col min="14858" max="14858" width="12.44140625" style="28" bestFit="1" customWidth="1"/>
    <col min="14859" max="14859" width="8.44140625" style="28" customWidth="1"/>
    <col min="14860" max="14860" width="8.5546875" style="28" customWidth="1"/>
    <col min="14861" max="14865" width="11.5546875" style="28" bestFit="1" customWidth="1"/>
    <col min="14866" max="14881" width="11" style="28" bestFit="1" customWidth="1"/>
    <col min="14882" max="14884" width="9.5546875" style="28" bestFit="1" customWidth="1"/>
    <col min="14885" max="14885" width="12.88671875" style="28" bestFit="1" customWidth="1"/>
    <col min="14886" max="14896" width="12.44140625" style="28" bestFit="1" customWidth="1"/>
    <col min="14897" max="14932" width="9.88671875" style="28" bestFit="1" customWidth="1"/>
    <col min="14933" max="14966" width="10" style="28" bestFit="1" customWidth="1"/>
    <col min="14967" max="14986" width="11" style="28" bestFit="1" customWidth="1"/>
    <col min="14987" max="14993" width="12.5546875" style="28" bestFit="1" customWidth="1"/>
    <col min="14994" max="14994" width="11.5546875" style="28" bestFit="1" customWidth="1"/>
    <col min="14995" max="15003" width="12.5546875" style="28" bestFit="1" customWidth="1"/>
    <col min="15004" max="15103" width="9.33203125" style="28" bestFit="1" customWidth="1"/>
    <col min="15104" max="15104" width="9.109375" style="28"/>
    <col min="15105" max="15105" width="8.44140625" style="28" customWidth="1"/>
    <col min="15106" max="15106" width="10.88671875" style="28" bestFit="1" customWidth="1"/>
    <col min="15107" max="15107" width="19.44140625" style="28" bestFit="1" customWidth="1"/>
    <col min="15108" max="15108" width="14.6640625" style="28" bestFit="1" customWidth="1"/>
    <col min="15109" max="15109" width="8.109375" style="28" customWidth="1"/>
    <col min="15110" max="15110" width="9.6640625" style="28" customWidth="1"/>
    <col min="15111" max="15111" width="10.88671875" style="28" customWidth="1"/>
    <col min="15112" max="15112" width="9.5546875" style="28" customWidth="1"/>
    <col min="15113" max="15113" width="10.6640625" style="28" customWidth="1"/>
    <col min="15114" max="15114" width="12.44140625" style="28" bestFit="1" customWidth="1"/>
    <col min="15115" max="15115" width="8.44140625" style="28" customWidth="1"/>
    <col min="15116" max="15116" width="8.5546875" style="28" customWidth="1"/>
    <col min="15117" max="15121" width="11.5546875" style="28" bestFit="1" customWidth="1"/>
    <col min="15122" max="15137" width="11" style="28" bestFit="1" customWidth="1"/>
    <col min="15138" max="15140" width="9.5546875" style="28" bestFit="1" customWidth="1"/>
    <col min="15141" max="15141" width="12.88671875" style="28" bestFit="1" customWidth="1"/>
    <col min="15142" max="15152" width="12.44140625" style="28" bestFit="1" customWidth="1"/>
    <col min="15153" max="15188" width="9.88671875" style="28" bestFit="1" customWidth="1"/>
    <col min="15189" max="15222" width="10" style="28" bestFit="1" customWidth="1"/>
    <col min="15223" max="15242" width="11" style="28" bestFit="1" customWidth="1"/>
    <col min="15243" max="15249" width="12.5546875" style="28" bestFit="1" customWidth="1"/>
    <col min="15250" max="15250" width="11.5546875" style="28" bestFit="1" customWidth="1"/>
    <col min="15251" max="15259" width="12.5546875" style="28" bestFit="1" customWidth="1"/>
    <col min="15260" max="15359" width="9.33203125" style="28" bestFit="1" customWidth="1"/>
    <col min="15360" max="15360" width="9.109375" style="28"/>
    <col min="15361" max="15361" width="8.44140625" style="28" customWidth="1"/>
    <col min="15362" max="15362" width="10.88671875" style="28" bestFit="1" customWidth="1"/>
    <col min="15363" max="15363" width="19.44140625" style="28" bestFit="1" customWidth="1"/>
    <col min="15364" max="15364" width="14.6640625" style="28" bestFit="1" customWidth="1"/>
    <col min="15365" max="15365" width="8.109375" style="28" customWidth="1"/>
    <col min="15366" max="15366" width="9.6640625" style="28" customWidth="1"/>
    <col min="15367" max="15367" width="10.88671875" style="28" customWidth="1"/>
    <col min="15368" max="15368" width="9.5546875" style="28" customWidth="1"/>
    <col min="15369" max="15369" width="10.6640625" style="28" customWidth="1"/>
    <col min="15370" max="15370" width="12.44140625" style="28" bestFit="1" customWidth="1"/>
    <col min="15371" max="15371" width="8.44140625" style="28" customWidth="1"/>
    <col min="15372" max="15372" width="8.5546875" style="28" customWidth="1"/>
    <col min="15373" max="15377" width="11.5546875" style="28" bestFit="1" customWidth="1"/>
    <col min="15378" max="15393" width="11" style="28" bestFit="1" customWidth="1"/>
    <col min="15394" max="15396" width="9.5546875" style="28" bestFit="1" customWidth="1"/>
    <col min="15397" max="15397" width="12.88671875" style="28" bestFit="1" customWidth="1"/>
    <col min="15398" max="15408" width="12.44140625" style="28" bestFit="1" customWidth="1"/>
    <col min="15409" max="15444" width="9.88671875" style="28" bestFit="1" customWidth="1"/>
    <col min="15445" max="15478" width="10" style="28" bestFit="1" customWidth="1"/>
    <col min="15479" max="15498" width="11" style="28" bestFit="1" customWidth="1"/>
    <col min="15499" max="15505" width="12.5546875" style="28" bestFit="1" customWidth="1"/>
    <col min="15506" max="15506" width="11.5546875" style="28" bestFit="1" customWidth="1"/>
    <col min="15507" max="15515" width="12.5546875" style="28" bestFit="1" customWidth="1"/>
    <col min="15516" max="15615" width="9.33203125" style="28" bestFit="1" customWidth="1"/>
    <col min="15616" max="15616" width="9.109375" style="28"/>
    <col min="15617" max="15617" width="8.44140625" style="28" customWidth="1"/>
    <col min="15618" max="15618" width="10.88671875" style="28" bestFit="1" customWidth="1"/>
    <col min="15619" max="15619" width="19.44140625" style="28" bestFit="1" customWidth="1"/>
    <col min="15620" max="15620" width="14.6640625" style="28" bestFit="1" customWidth="1"/>
    <col min="15621" max="15621" width="8.109375" style="28" customWidth="1"/>
    <col min="15622" max="15622" width="9.6640625" style="28" customWidth="1"/>
    <col min="15623" max="15623" width="10.88671875" style="28" customWidth="1"/>
    <col min="15624" max="15624" width="9.5546875" style="28" customWidth="1"/>
    <col min="15625" max="15625" width="10.6640625" style="28" customWidth="1"/>
    <col min="15626" max="15626" width="12.44140625" style="28" bestFit="1" customWidth="1"/>
    <col min="15627" max="15627" width="8.44140625" style="28" customWidth="1"/>
    <col min="15628" max="15628" width="8.5546875" style="28" customWidth="1"/>
    <col min="15629" max="15633" width="11.5546875" style="28" bestFit="1" customWidth="1"/>
    <col min="15634" max="15649" width="11" style="28" bestFit="1" customWidth="1"/>
    <col min="15650" max="15652" width="9.5546875" style="28" bestFit="1" customWidth="1"/>
    <col min="15653" max="15653" width="12.88671875" style="28" bestFit="1" customWidth="1"/>
    <col min="15654" max="15664" width="12.44140625" style="28" bestFit="1" customWidth="1"/>
    <col min="15665" max="15700" width="9.88671875" style="28" bestFit="1" customWidth="1"/>
    <col min="15701" max="15734" width="10" style="28" bestFit="1" customWidth="1"/>
    <col min="15735" max="15754" width="11" style="28" bestFit="1" customWidth="1"/>
    <col min="15755" max="15761" width="12.5546875" style="28" bestFit="1" customWidth="1"/>
    <col min="15762" max="15762" width="11.5546875" style="28" bestFit="1" customWidth="1"/>
    <col min="15763" max="15771" width="12.5546875" style="28" bestFit="1" customWidth="1"/>
    <col min="15772" max="15871" width="9.33203125" style="28" bestFit="1" customWidth="1"/>
    <col min="15872" max="15872" width="9.109375" style="28"/>
    <col min="15873" max="15873" width="8.44140625" style="28" customWidth="1"/>
    <col min="15874" max="15874" width="10.88671875" style="28" bestFit="1" customWidth="1"/>
    <col min="15875" max="15875" width="19.44140625" style="28" bestFit="1" customWidth="1"/>
    <col min="15876" max="15876" width="14.6640625" style="28" bestFit="1" customWidth="1"/>
    <col min="15877" max="15877" width="8.109375" style="28" customWidth="1"/>
    <col min="15878" max="15878" width="9.6640625" style="28" customWidth="1"/>
    <col min="15879" max="15879" width="10.88671875" style="28" customWidth="1"/>
    <col min="15880" max="15880" width="9.5546875" style="28" customWidth="1"/>
    <col min="15881" max="15881" width="10.6640625" style="28" customWidth="1"/>
    <col min="15882" max="15882" width="12.44140625" style="28" bestFit="1" customWidth="1"/>
    <col min="15883" max="15883" width="8.44140625" style="28" customWidth="1"/>
    <col min="15884" max="15884" width="8.5546875" style="28" customWidth="1"/>
    <col min="15885" max="15889" width="11.5546875" style="28" bestFit="1" customWidth="1"/>
    <col min="15890" max="15905" width="11" style="28" bestFit="1" customWidth="1"/>
    <col min="15906" max="15908" width="9.5546875" style="28" bestFit="1" customWidth="1"/>
    <col min="15909" max="15909" width="12.88671875" style="28" bestFit="1" customWidth="1"/>
    <col min="15910" max="15920" width="12.44140625" style="28" bestFit="1" customWidth="1"/>
    <col min="15921" max="15956" width="9.88671875" style="28" bestFit="1" customWidth="1"/>
    <col min="15957" max="15990" width="10" style="28" bestFit="1" customWidth="1"/>
    <col min="15991" max="16010" width="11" style="28" bestFit="1" customWidth="1"/>
    <col min="16011" max="16017" width="12.5546875" style="28" bestFit="1" customWidth="1"/>
    <col min="16018" max="16018" width="11.5546875" style="28" bestFit="1" customWidth="1"/>
    <col min="16019" max="16027" width="12.5546875" style="28" bestFit="1" customWidth="1"/>
    <col min="16028" max="16127" width="9.33203125" style="28" bestFit="1" customWidth="1"/>
    <col min="16128" max="16128" width="9.109375" style="28"/>
    <col min="16129" max="16129" width="8.44140625" style="28" customWidth="1"/>
    <col min="16130" max="16130" width="10.88671875" style="28" bestFit="1" customWidth="1"/>
    <col min="16131" max="16131" width="19.44140625" style="28" bestFit="1" customWidth="1"/>
    <col min="16132" max="16132" width="14.6640625" style="28" bestFit="1" customWidth="1"/>
    <col min="16133" max="16133" width="8.109375" style="28" customWidth="1"/>
    <col min="16134" max="16134" width="9.6640625" style="28" customWidth="1"/>
    <col min="16135" max="16135" width="10.88671875" style="28" customWidth="1"/>
    <col min="16136" max="16136" width="9.5546875" style="28" customWidth="1"/>
    <col min="16137" max="16137" width="10.6640625" style="28" customWidth="1"/>
    <col min="16138" max="16138" width="12.44140625" style="28" bestFit="1" customWidth="1"/>
    <col min="16139" max="16139" width="8.44140625" style="28" customWidth="1"/>
    <col min="16140" max="16140" width="8.5546875" style="28" customWidth="1"/>
    <col min="16141" max="16145" width="11.5546875" style="28" bestFit="1" customWidth="1"/>
    <col min="16146" max="16161" width="11" style="28" bestFit="1" customWidth="1"/>
    <col min="16162" max="16164" width="9.5546875" style="28" bestFit="1" customWidth="1"/>
    <col min="16165" max="16165" width="12.88671875" style="28" bestFit="1" customWidth="1"/>
    <col min="16166" max="16176" width="12.44140625" style="28" bestFit="1" customWidth="1"/>
    <col min="16177" max="16212" width="9.88671875" style="28" bestFit="1" customWidth="1"/>
    <col min="16213" max="16246" width="10" style="28" bestFit="1" customWidth="1"/>
    <col min="16247" max="16266" width="11" style="28" bestFit="1" customWidth="1"/>
    <col min="16267" max="16273" width="12.5546875" style="28" bestFit="1" customWidth="1"/>
    <col min="16274" max="16274" width="11.5546875" style="28" bestFit="1" customWidth="1"/>
    <col min="16275" max="16283" width="12.5546875" style="28" bestFit="1" customWidth="1"/>
    <col min="16284" max="16383" width="9.33203125" style="28" bestFit="1" customWidth="1"/>
    <col min="16384" max="16384" width="9.109375" style="28"/>
  </cols>
  <sheetData>
    <row r="1" spans="2:256" s="1" customFormat="1" x14ac:dyDescent="0.25"/>
    <row r="2" spans="2:256" s="1" customFormat="1" x14ac:dyDescent="0.25"/>
    <row r="3" spans="2:256" s="1" customFormat="1" x14ac:dyDescent="0.25"/>
    <row r="4" spans="2:256" s="1" customFormat="1" x14ac:dyDescent="0.25"/>
    <row r="5" spans="2:256" s="1" customFormat="1" x14ac:dyDescent="0.25"/>
    <row r="6" spans="2:256" s="1" customFormat="1" x14ac:dyDescent="0.25"/>
    <row r="7" spans="2:256" s="1" customFormat="1" ht="13.8" thickBot="1" x14ac:dyDescent="0.3">
      <c r="K7" s="1">
        <f ca="1">NORMSDIST(M10)+FirmValue*NORMSDIST(-L10)/(DebtFV*EXP(-IntRate*J10))</f>
        <v>0.999999946672392</v>
      </c>
    </row>
    <row r="8" spans="2:256" x14ac:dyDescent="0.25">
      <c r="B8" s="143" t="s">
        <v>22</v>
      </c>
      <c r="C8" s="144"/>
      <c r="G8" s="28" t="s">
        <v>27</v>
      </c>
      <c r="H8" s="28" t="s">
        <v>20</v>
      </c>
      <c r="K8" s="28" t="s">
        <v>28</v>
      </c>
    </row>
    <row r="9" spans="2:256" x14ac:dyDescent="0.25">
      <c r="B9" s="30" t="s">
        <v>19</v>
      </c>
      <c r="C9" s="36">
        <v>200</v>
      </c>
      <c r="F9" s="28">
        <v>1E-4</v>
      </c>
      <c r="G9" s="28">
        <f t="shared" ref="G9:G40" ca="1" si="0">F9*NORMSDIST((LN(F9/DebtFV)+(IntRate+FVol^2/2)*Maturity)/(FVol*SQRT(Maturity)))-EXP(-IntRate*Maturity)*DebtFV*NORMSDIST((LN(F9/DebtFV)+(IntRate-FVol^2/2)*Maturity)/(FVol*SQRT(Maturity)))</f>
        <v>8.5875500530717601E-94</v>
      </c>
      <c r="H9" s="28">
        <f ca="1">F9-G9</f>
        <v>1E-4</v>
      </c>
      <c r="J9" s="28">
        <v>0.01</v>
      </c>
      <c r="L9" s="28">
        <f t="shared" ref="L9:L49" ca="1" si="1">(LN(FirmValue/DebtFV)+(IntRate+FVol^2/2)*J9)/(FVol*SQRT(J9))</f>
        <v>23.136572685331512</v>
      </c>
      <c r="M9" s="28">
        <f t="shared" ref="M9:M49" ca="1" si="2">(LN(FirmValue/DebtFV)+(IntRate-FVol^2/2)*J9)/(FVol*SQRT(J9))</f>
        <v>23.106572685331511</v>
      </c>
    </row>
    <row r="10" spans="2:256" x14ac:dyDescent="0.25">
      <c r="B10" s="30" t="s">
        <v>20</v>
      </c>
      <c r="C10" s="36">
        <v>100</v>
      </c>
      <c r="F10" s="28">
        <v>5</v>
      </c>
      <c r="G10" s="28">
        <f t="shared" ca="1" si="0"/>
        <v>5.9235837979759189E-5</v>
      </c>
      <c r="H10" s="28">
        <f t="shared" ref="H10:H59" ca="1" si="3">F10-G10</f>
        <v>4.9999407641620204</v>
      </c>
      <c r="J10" s="28">
        <v>0.25</v>
      </c>
      <c r="K10" s="28">
        <f ca="1">-1/J10*LN(NORMSDIST(M10)+FirmValue*NORMSDIST(-L10)/(DebtFV*EXP(-IntRate*J10)))</f>
        <v>2.1331043767224907E-7</v>
      </c>
      <c r="L10" s="28">
        <f t="shared" ca="1" si="1"/>
        <v>4.7793145370663028</v>
      </c>
      <c r="M10" s="28">
        <f t="shared" ca="1" si="2"/>
        <v>4.6293145370663016</v>
      </c>
    </row>
    <row r="11" spans="2:256" x14ac:dyDescent="0.25">
      <c r="B11" s="30" t="s">
        <v>18</v>
      </c>
      <c r="C11" s="37">
        <v>0.05</v>
      </c>
      <c r="F11" s="28">
        <f>F10+5</f>
        <v>10</v>
      </c>
      <c r="G11" s="28">
        <f t="shared" ca="1" si="0"/>
        <v>5.506717965968938E-3</v>
      </c>
      <c r="H11" s="28">
        <f t="shared" ca="1" si="3"/>
        <v>9.9944932820340302</v>
      </c>
      <c r="J11" s="28">
        <f>J10+0.25</f>
        <v>0.5</v>
      </c>
      <c r="K11" s="28">
        <f t="shared" ref="K11:K49" ca="1" si="4">-1/J11*LN(NORMSDIST(M11)+FirmValue*NORMSDIST(-L11)/(DebtFV*EXP(-IntRate*J11)))</f>
        <v>5.5448118879784382E-5</v>
      </c>
      <c r="L11" s="28">
        <f t="shared" ca="1" si="1"/>
        <v>3.4914442922708973</v>
      </c>
      <c r="M11" s="28">
        <f t="shared" ca="1" si="2"/>
        <v>3.2793122579149334</v>
      </c>
    </row>
    <row r="12" spans="2:256" x14ac:dyDescent="0.25">
      <c r="B12" s="30" t="s">
        <v>21</v>
      </c>
      <c r="C12" s="37">
        <v>0.3</v>
      </c>
      <c r="D12" s="43"/>
      <c r="F12" s="28">
        <f t="shared" ref="F12:F59" si="5">F11+5</f>
        <v>15</v>
      </c>
      <c r="G12" s="28">
        <f t="shared" ca="1" si="0"/>
        <v>5.0319495949606302E-2</v>
      </c>
      <c r="H12" s="28">
        <f t="shared" ca="1" si="3"/>
        <v>14.949680504050393</v>
      </c>
      <c r="J12" s="28">
        <f t="shared" ref="J12:J49" si="6">J11+0.25</f>
        <v>0.75</v>
      </c>
      <c r="K12" s="28">
        <f t="shared" ca="1" si="4"/>
        <v>3.6199679147814724E-4</v>
      </c>
      <c r="L12" s="28">
        <f t="shared" ca="1" si="1"/>
        <v>2.9421661197605031</v>
      </c>
      <c r="M12" s="28">
        <f t="shared" ca="1" si="2"/>
        <v>2.6823584986251712</v>
      </c>
    </row>
    <row r="13" spans="2:256" ht="13.8" thickBot="1" x14ac:dyDescent="0.3">
      <c r="B13" s="31" t="s">
        <v>2</v>
      </c>
      <c r="C13" s="38">
        <v>5</v>
      </c>
      <c r="F13" s="28">
        <f t="shared" si="5"/>
        <v>20</v>
      </c>
      <c r="G13" s="28">
        <f t="shared" ca="1" si="0"/>
        <v>0.20022589005368929</v>
      </c>
      <c r="H13" s="28">
        <f t="shared" ca="1" si="3"/>
        <v>19.799774109946309</v>
      </c>
      <c r="J13" s="28">
        <f t="shared" si="6"/>
        <v>1</v>
      </c>
      <c r="K13" s="28">
        <f t="shared" ca="1" si="4"/>
        <v>9.2727304026792934E-4</v>
      </c>
      <c r="L13" s="28">
        <f t="shared" ca="1" si="1"/>
        <v>2.6271572685331508</v>
      </c>
      <c r="M13" s="28">
        <f t="shared" ca="1" si="2"/>
        <v>2.327157268533151</v>
      </c>
      <c r="IV13" s="19"/>
    </row>
    <row r="14" spans="2:256" ht="13.8" thickBot="1" x14ac:dyDescent="0.3">
      <c r="F14" s="28">
        <f t="shared" si="5"/>
        <v>25</v>
      </c>
      <c r="G14" s="28">
        <f t="shared" ca="1" si="0"/>
        <v>0.52675637992876778</v>
      </c>
      <c r="H14" s="28">
        <f t="shared" ca="1" si="3"/>
        <v>24.473243620071234</v>
      </c>
      <c r="J14" s="28">
        <f t="shared" si="6"/>
        <v>1.25</v>
      </c>
      <c r="K14" s="28">
        <f t="shared" ca="1" si="4"/>
        <v>1.6270810564177247E-3</v>
      </c>
      <c r="L14" s="28">
        <f t="shared" ca="1" si="1"/>
        <v>2.4206097152966111</v>
      </c>
      <c r="M14" s="28">
        <f t="shared" ca="1" si="2"/>
        <v>2.0851995186716428</v>
      </c>
      <c r="IV14" s="19"/>
    </row>
    <row r="15" spans="2:256" x14ac:dyDescent="0.25">
      <c r="B15" s="29" t="s">
        <v>23</v>
      </c>
      <c r="C15" s="39">
        <f ca="1">(LN(FirmValue/DebtFV)+(IntRate+FVol^2/2)*Maturity)/(FVol*SQRT(Maturity))</f>
        <v>1.7413710023045057</v>
      </c>
      <c r="F15" s="28">
        <f t="shared" si="5"/>
        <v>30</v>
      </c>
      <c r="G15" s="28">
        <f t="shared" ca="1" si="0"/>
        <v>1.0879310642637257</v>
      </c>
      <c r="H15" s="28">
        <f t="shared" ca="1" si="3"/>
        <v>28.912068935736276</v>
      </c>
      <c r="J15" s="28">
        <f t="shared" si="6"/>
        <v>1.5</v>
      </c>
      <c r="K15" s="28">
        <f t="shared" ca="1" si="4"/>
        <v>2.3595381971983883E-3</v>
      </c>
      <c r="L15" s="28">
        <f t="shared" ca="1" si="1"/>
        <v>2.2743435526302984</v>
      </c>
      <c r="M15" s="28">
        <f t="shared" ca="1" si="2"/>
        <v>1.9069200912128215</v>
      </c>
      <c r="IV15" s="19"/>
    </row>
    <row r="16" spans="2:256" x14ac:dyDescent="0.25">
      <c r="B16" s="30" t="s">
        <v>24</v>
      </c>
      <c r="C16" s="40">
        <f ca="1">(LN(FirmValue/DebtFV)+(IntRate-FVol^2/2)*Maturity)/(FVol*SQRT(Maturity))</f>
        <v>1.0705506090545687</v>
      </c>
      <c r="F16" s="28">
        <f t="shared" si="5"/>
        <v>35</v>
      </c>
      <c r="G16" s="28">
        <f t="shared" ca="1" si="0"/>
        <v>1.9221456277928191</v>
      </c>
      <c r="H16" s="28">
        <f t="shared" ca="1" si="3"/>
        <v>33.077854372207184</v>
      </c>
      <c r="J16" s="28">
        <f t="shared" si="6"/>
        <v>1.75</v>
      </c>
      <c r="K16" s="28">
        <f t="shared" ca="1" si="4"/>
        <v>3.0668299244436138E-3</v>
      </c>
      <c r="L16" s="28">
        <f t="shared" ca="1" si="1"/>
        <v>2.1654773497063693</v>
      </c>
      <c r="M16" s="28">
        <f t="shared" ca="1" si="2"/>
        <v>1.7686146530466809</v>
      </c>
      <c r="IV16" s="19"/>
    </row>
    <row r="17" spans="2:256" x14ac:dyDescent="0.25">
      <c r="B17" s="30" t="s">
        <v>25</v>
      </c>
      <c r="C17" s="41">
        <f ca="1">FirmValue*NORMSDIST(d1x)-EXP(-IntRate*Maturity)*DebtFV*NORMSDIST(d2x)</f>
        <v>125.03150388662996</v>
      </c>
      <c r="F17" s="28">
        <f t="shared" si="5"/>
        <v>40</v>
      </c>
      <c r="G17" s="28">
        <f t="shared" ca="1" si="0"/>
        <v>3.0494079065190647</v>
      </c>
      <c r="H17" s="28">
        <f t="shared" ca="1" si="3"/>
        <v>36.950592093480935</v>
      </c>
      <c r="J17" s="28">
        <f t="shared" si="6"/>
        <v>2</v>
      </c>
      <c r="K17" s="28">
        <f t="shared" ca="1" si="4"/>
        <v>3.7216065197522193E-3</v>
      </c>
      <c r="L17" s="28">
        <f t="shared" ca="1" si="1"/>
        <v>2.0815978671990587</v>
      </c>
      <c r="M17" s="28">
        <f t="shared" ca="1" si="2"/>
        <v>1.6573337984871301</v>
      </c>
      <c r="IV17" s="19"/>
    </row>
    <row r="18" spans="2:256" x14ac:dyDescent="0.25">
      <c r="B18" s="30" t="s">
        <v>20</v>
      </c>
      <c r="C18" s="41">
        <f ca="1">FirmValue*NORMSDIST(-d1x)+EXP(-IntRate*Maturity)*DebtFV*NORMSDIST(d2x)</f>
        <v>74.968496113370065</v>
      </c>
      <c r="F18" s="28">
        <f t="shared" si="5"/>
        <v>45</v>
      </c>
      <c r="G18" s="28">
        <f t="shared" ca="1" si="0"/>
        <v>4.4751830701618829</v>
      </c>
      <c r="H18" s="28">
        <f t="shared" ca="1" si="3"/>
        <v>40.524816929838117</v>
      </c>
      <c r="J18" s="28">
        <f t="shared" si="6"/>
        <v>2.25</v>
      </c>
      <c r="K18" s="28">
        <f t="shared" ca="1" si="4"/>
        <v>4.3137481311171276E-3</v>
      </c>
      <c r="L18" s="28">
        <f t="shared" ca="1" si="1"/>
        <v>2.0153270679109898</v>
      </c>
      <c r="M18" s="28">
        <f t="shared" ca="1" si="2"/>
        <v>1.5653270679109896</v>
      </c>
      <c r="IV18" s="19"/>
    </row>
    <row r="19" spans="2:256" x14ac:dyDescent="0.25">
      <c r="B19" s="30" t="s">
        <v>26</v>
      </c>
      <c r="C19" s="140">
        <f ca="1">1-NORMSDIST(d2x)</f>
        <v>0.14218577082069139</v>
      </c>
      <c r="F19" s="28">
        <f t="shared" si="5"/>
        <v>50</v>
      </c>
      <c r="G19" s="28">
        <f t="shared" ca="1" si="0"/>
        <v>6.194515402052474</v>
      </c>
      <c r="H19" s="28">
        <f t="shared" ca="1" si="3"/>
        <v>43.805484597947526</v>
      </c>
      <c r="J19" s="28">
        <f t="shared" si="6"/>
        <v>2.5</v>
      </c>
      <c r="K19" s="28">
        <f t="shared" ca="1" si="4"/>
        <v>4.8420797726509935E-3</v>
      </c>
      <c r="L19" s="28">
        <f t="shared" ca="1" si="1"/>
        <v>1.9619765257222685</v>
      </c>
      <c r="M19" s="28">
        <f t="shared" ca="1" si="2"/>
        <v>1.487634876697012</v>
      </c>
      <c r="IV19" s="19"/>
    </row>
    <row r="20" spans="2:256" x14ac:dyDescent="0.25">
      <c r="B20" s="30" t="s">
        <v>29</v>
      </c>
      <c r="C20" s="41">
        <f ca="1">EXP(-IntRate*Maturity)*DebtFV</f>
        <v>77.880078307140494</v>
      </c>
      <c r="F20" s="28">
        <f t="shared" si="5"/>
        <v>55</v>
      </c>
      <c r="G20" s="28">
        <f t="shared" ca="1" si="0"/>
        <v>8.1955464672093914</v>
      </c>
      <c r="H20" s="28">
        <f t="shared" ca="1" si="3"/>
        <v>46.80445353279061</v>
      </c>
      <c r="J20" s="28">
        <f t="shared" si="6"/>
        <v>2.75</v>
      </c>
      <c r="K20" s="28">
        <f t="shared" ca="1" si="4"/>
        <v>5.3097446325529414E-3</v>
      </c>
      <c r="L20" s="28">
        <f t="shared" ca="1" si="1"/>
        <v>1.9184105144790384</v>
      </c>
      <c r="M20" s="28">
        <f t="shared" ca="1" si="2"/>
        <v>1.4209167959257285</v>
      </c>
      <c r="IV20" s="19"/>
    </row>
    <row r="21" spans="2:256" ht="13.8" thickBot="1" x14ac:dyDescent="0.3">
      <c r="B21" s="31" t="s">
        <v>28</v>
      </c>
      <c r="C21" s="42">
        <f ca="1">-LN(C18/C20)/Maturity</f>
        <v>7.6204425039985858E-3</v>
      </c>
      <c r="F21" s="28">
        <f t="shared" si="5"/>
        <v>60</v>
      </c>
      <c r="G21" s="28">
        <f t="shared" ca="1" si="0"/>
        <v>10.462226442736149</v>
      </c>
      <c r="H21" s="28">
        <f t="shared" ca="1" si="3"/>
        <v>49.537773557263847</v>
      </c>
      <c r="J21" s="28">
        <f t="shared" si="6"/>
        <v>3</v>
      </c>
      <c r="K21" s="28">
        <f t="shared" ca="1" si="4"/>
        <v>5.7217349115483984E-3</v>
      </c>
      <c r="L21" s="28">
        <f t="shared" ca="1" si="1"/>
        <v>1.8824451266778599</v>
      </c>
      <c r="M21" s="28">
        <f t="shared" ca="1" si="2"/>
        <v>1.3628298844071967</v>
      </c>
      <c r="IV21" s="19"/>
    </row>
    <row r="22" spans="2:256" x14ac:dyDescent="0.25">
      <c r="F22" s="28">
        <f t="shared" si="5"/>
        <v>65</v>
      </c>
      <c r="G22" s="28">
        <f t="shared" ca="1" si="0"/>
        <v>12.976281951194032</v>
      </c>
      <c r="H22" s="28">
        <f t="shared" ca="1" si="3"/>
        <v>52.023718048805968</v>
      </c>
      <c r="J22" s="28">
        <f t="shared" si="6"/>
        <v>3.25</v>
      </c>
      <c r="K22" s="28">
        <f t="shared" ca="1" si="4"/>
        <v>6.0836127315862867E-3</v>
      </c>
      <c r="L22" s="28">
        <f t="shared" ca="1" si="1"/>
        <v>1.8525085421803518</v>
      </c>
      <c r="M22" s="28">
        <f t="shared" ca="1" si="2"/>
        <v>1.3116758508607533</v>
      </c>
      <c r="IV22" s="19"/>
    </row>
    <row r="23" spans="2:256" x14ac:dyDescent="0.25">
      <c r="F23" s="28">
        <f t="shared" si="5"/>
        <v>70</v>
      </c>
      <c r="G23" s="28">
        <f t="shared" ca="1" si="0"/>
        <v>15.718583315719105</v>
      </c>
      <c r="H23" s="28">
        <f t="shared" ca="1" si="3"/>
        <v>54.281416684280899</v>
      </c>
      <c r="J23" s="28">
        <f t="shared" si="6"/>
        <v>3.5</v>
      </c>
      <c r="K23" s="28">
        <f t="shared" ca="1" si="4"/>
        <v>6.4008718920439177E-3</v>
      </c>
      <c r="L23" s="28">
        <f t="shared" ca="1" si="1"/>
        <v>1.8274382616028506</v>
      </c>
      <c r="M23" s="28">
        <f t="shared" ca="1" si="2"/>
        <v>1.2661896535867589</v>
      </c>
      <c r="IV23" s="19"/>
    </row>
    <row r="24" spans="2:256" ht="11.4" customHeight="1" x14ac:dyDescent="0.25">
      <c r="B24" s="43"/>
      <c r="C24" s="43"/>
      <c r="D24" s="43"/>
      <c r="E24" s="43"/>
      <c r="F24" s="28">
        <f t="shared" si="5"/>
        <v>75</v>
      </c>
      <c r="G24" s="28">
        <f t="shared" ca="1" si="0"/>
        <v>18.670057742760232</v>
      </c>
      <c r="H24" s="28">
        <f t="shared" ca="1" si="3"/>
        <v>56.329942257239765</v>
      </c>
      <c r="J24" s="28">
        <f t="shared" si="6"/>
        <v>3.75</v>
      </c>
      <c r="K24" s="28">
        <f t="shared" ca="1" si="4"/>
        <v>6.6786407135728636E-3</v>
      </c>
      <c r="L24" s="28">
        <f t="shared" ca="1" si="1"/>
        <v>1.8063545794958604</v>
      </c>
      <c r="M24" s="28">
        <f t="shared" ca="1" si="2"/>
        <v>1.2254070775647479</v>
      </c>
      <c r="IV24" s="19"/>
    </row>
    <row r="25" spans="2:256" x14ac:dyDescent="0.25">
      <c r="B25" s="43"/>
      <c r="C25" s="43"/>
      <c r="D25" s="43"/>
      <c r="E25" s="43"/>
      <c r="F25" s="28">
        <f t="shared" si="5"/>
        <v>80</v>
      </c>
      <c r="G25" s="28">
        <f t="shared" ca="1" si="0"/>
        <v>21.812272627205957</v>
      </c>
      <c r="H25" s="28">
        <f t="shared" ca="1" si="3"/>
        <v>58.187727372794043</v>
      </c>
      <c r="J25" s="28">
        <f t="shared" si="6"/>
        <v>4</v>
      </c>
      <c r="K25" s="28">
        <f t="shared" ca="1" si="4"/>
        <v>6.9215642227168847E-3</v>
      </c>
      <c r="L25" s="28">
        <f t="shared" ca="1" si="1"/>
        <v>1.7885786342665755</v>
      </c>
      <c r="M25" s="28">
        <f t="shared" ca="1" si="2"/>
        <v>1.1885786342665756</v>
      </c>
      <c r="IV25" s="19"/>
    </row>
    <row r="26" spans="2:256" x14ac:dyDescent="0.25">
      <c r="F26" s="28">
        <f t="shared" si="5"/>
        <v>85</v>
      </c>
      <c r="G26" s="28">
        <f t="shared" ca="1" si="0"/>
        <v>25.127785829931376</v>
      </c>
      <c r="H26" s="28">
        <f t="shared" ca="1" si="3"/>
        <v>59.872214170068624</v>
      </c>
      <c r="J26" s="28">
        <f t="shared" si="6"/>
        <v>4.25</v>
      </c>
      <c r="K26" s="28">
        <f t="shared" ca="1" si="4"/>
        <v>7.1337785948609577E-3</v>
      </c>
      <c r="L26" s="28">
        <f t="shared" ca="1" si="1"/>
        <v>1.7735776219179848</v>
      </c>
      <c r="M26" s="28">
        <f t="shared" ca="1" si="2"/>
        <v>1.1551117780753357</v>
      </c>
      <c r="IV26" s="19"/>
    </row>
    <row r="27" spans="2:256" x14ac:dyDescent="0.25">
      <c r="F27" s="28">
        <f t="shared" si="5"/>
        <v>90</v>
      </c>
      <c r="G27" s="28">
        <f t="shared" ca="1" si="0"/>
        <v>28.600335110678721</v>
      </c>
      <c r="H27" s="28">
        <f t="shared" ca="1" si="3"/>
        <v>61.399664889321279</v>
      </c>
      <c r="J27" s="28">
        <f t="shared" si="6"/>
        <v>4.5</v>
      </c>
      <c r="K27" s="28">
        <f t="shared" ca="1" si="4"/>
        <v>7.3189310247931769E-3</v>
      </c>
      <c r="L27" s="28">
        <f t="shared" ca="1" si="1"/>
        <v>1.7609271570922724</v>
      </c>
      <c r="M27" s="28">
        <f t="shared" ca="1" si="2"/>
        <v>1.12453105402438</v>
      </c>
      <c r="IV27" s="19"/>
    </row>
    <row r="28" spans="2:256" x14ac:dyDescent="0.25">
      <c r="F28" s="28">
        <f t="shared" si="5"/>
        <v>95</v>
      </c>
      <c r="G28" s="28">
        <f t="shared" ca="1" si="0"/>
        <v>32.214919033311659</v>
      </c>
      <c r="H28" s="28">
        <f t="shared" ca="1" si="3"/>
        <v>62.785080966688341</v>
      </c>
      <c r="J28" s="28">
        <f t="shared" si="6"/>
        <v>4.75</v>
      </c>
      <c r="K28" s="28">
        <f t="shared" ca="1" si="4"/>
        <v>7.4802199652878364E-3</v>
      </c>
      <c r="L28" s="28">
        <f t="shared" ca="1" si="1"/>
        <v>1.7502847934504109</v>
      </c>
      <c r="M28" s="28">
        <f t="shared" ca="1" si="2"/>
        <v>1.0964499519193098</v>
      </c>
      <c r="IV28" s="19"/>
    </row>
    <row r="29" spans="2:256" x14ac:dyDescent="0.25">
      <c r="F29" s="28">
        <f t="shared" si="5"/>
        <v>100</v>
      </c>
      <c r="G29" s="28">
        <f t="shared" ca="1" si="0"/>
        <v>35.957806538443229</v>
      </c>
      <c r="H29" s="28">
        <f t="shared" ca="1" si="3"/>
        <v>64.042193461556764</v>
      </c>
      <c r="J29" s="28">
        <f t="shared" si="6"/>
        <v>5</v>
      </c>
      <c r="K29" s="28">
        <f t="shared" ca="1" si="4"/>
        <v>7.6204425039986092E-3</v>
      </c>
      <c r="L29" s="28">
        <f t="shared" ca="1" si="1"/>
        <v>1.7413710023045057</v>
      </c>
      <c r="M29" s="28">
        <f t="shared" ca="1" si="2"/>
        <v>1.0705506090545687</v>
      </c>
      <c r="IV29" s="19"/>
    </row>
    <row r="30" spans="2:256" x14ac:dyDescent="0.25">
      <c r="E30" s="32"/>
      <c r="F30" s="28">
        <f t="shared" si="5"/>
        <v>105</v>
      </c>
      <c r="G30" s="28">
        <f t="shared" ca="1" si="0"/>
        <v>39.816501232420762</v>
      </c>
      <c r="H30" s="28">
        <f t="shared" ca="1" si="3"/>
        <v>65.183498767579238</v>
      </c>
      <c r="J30" s="28">
        <f t="shared" si="6"/>
        <v>5.25</v>
      </c>
      <c r="K30" s="28">
        <f t="shared" ca="1" si="4"/>
        <v>7.7420420951608742E-3</v>
      </c>
      <c r="L30" s="28">
        <f t="shared" ca="1" si="1"/>
        <v>1.7339552541334597</v>
      </c>
      <c r="M30" s="28">
        <f t="shared" ca="1" si="2"/>
        <v>1.0465688998900837</v>
      </c>
      <c r="N30" s="33"/>
      <c r="O30" s="34"/>
    </row>
    <row r="31" spans="2:256" x14ac:dyDescent="0.25">
      <c r="E31" s="32"/>
      <c r="F31" s="28">
        <f t="shared" si="5"/>
        <v>110</v>
      </c>
      <c r="G31" s="28">
        <f t="shared" ca="1" si="0"/>
        <v>43.779678390410822</v>
      </c>
      <c r="H31" s="28">
        <f t="shared" ca="1" si="3"/>
        <v>66.220321609589178</v>
      </c>
      <c r="J31" s="28">
        <f t="shared" si="6"/>
        <v>5.5</v>
      </c>
      <c r="K31" s="28">
        <f t="shared" ca="1" si="4"/>
        <v>7.8471533701849477E-3</v>
      </c>
      <c r="L31" s="28">
        <f t="shared" ca="1" si="1"/>
        <v>1.727845664873723</v>
      </c>
      <c r="M31" s="28">
        <f t="shared" ca="1" si="2"/>
        <v>1.0242833009002084</v>
      </c>
      <c r="O31" s="33"/>
    </row>
    <row r="32" spans="2:256" x14ac:dyDescent="0.25">
      <c r="F32" s="28">
        <f t="shared" si="5"/>
        <v>115</v>
      </c>
      <c r="G32" s="28">
        <f t="shared" ca="1" si="0"/>
        <v>47.83710693489958</v>
      </c>
      <c r="H32" s="28">
        <f t="shared" ca="1" si="3"/>
        <v>67.16289306510042</v>
      </c>
      <c r="J32" s="28">
        <f t="shared" si="6"/>
        <v>5.75</v>
      </c>
      <c r="K32" s="28">
        <f t="shared" ca="1" si="4"/>
        <v>7.9376426436125001E-3</v>
      </c>
      <c r="L32" s="28">
        <f t="shared" ca="1" si="1"/>
        <v>1.7228811792563168</v>
      </c>
      <c r="M32" s="28">
        <f t="shared" ca="1" si="2"/>
        <v>1.0035064507594087</v>
      </c>
    </row>
    <row r="33" spans="5:15" x14ac:dyDescent="0.25">
      <c r="F33" s="28">
        <f t="shared" si="5"/>
        <v>120</v>
      </c>
      <c r="G33" s="28">
        <f t="shared" ca="1" si="0"/>
        <v>51.979564605557101</v>
      </c>
      <c r="H33" s="28">
        <f t="shared" ca="1" si="3"/>
        <v>68.020435394442899</v>
      </c>
      <c r="J33" s="28">
        <f t="shared" si="6"/>
        <v>6</v>
      </c>
      <c r="K33" s="28">
        <f t="shared" ca="1" si="4"/>
        <v>8.0151437315709468E-3</v>
      </c>
      <c r="L33" s="28">
        <f t="shared" ca="1" si="1"/>
        <v>1.718925590226154</v>
      </c>
      <c r="M33" s="28">
        <f t="shared" ca="1" si="2"/>
        <v>0.98407866739120065</v>
      </c>
      <c r="N33" s="35"/>
      <c r="O33" s="35"/>
    </row>
    <row r="34" spans="5:15" x14ac:dyDescent="0.25">
      <c r="F34" s="28">
        <f t="shared" si="5"/>
        <v>125</v>
      </c>
      <c r="G34" s="28">
        <f t="shared" ca="1" si="0"/>
        <v>56.198751708161701</v>
      </c>
      <c r="H34" s="28">
        <f t="shared" ca="1" si="3"/>
        <v>68.801248291838306</v>
      </c>
      <c r="J34" s="28">
        <f t="shared" si="6"/>
        <v>6.25</v>
      </c>
      <c r="K34" s="28">
        <f t="shared" ca="1" si="4"/>
        <v>8.0810892079518862E-3</v>
      </c>
      <c r="L34" s="28">
        <f t="shared" ca="1" si="1"/>
        <v>1.7158629074132605</v>
      </c>
      <c r="M34" s="28">
        <f t="shared" ca="1" si="2"/>
        <v>0.96586290741326042</v>
      </c>
    </row>
    <row r="35" spans="5:15" x14ac:dyDescent="0.25">
      <c r="E35" s="32"/>
      <c r="F35" s="28">
        <f t="shared" si="5"/>
        <v>130</v>
      </c>
      <c r="G35" s="28">
        <f t="shared" ca="1" si="0"/>
        <v>60.487206869319472</v>
      </c>
      <c r="H35" s="28">
        <f t="shared" ca="1" si="3"/>
        <v>69.512793130680535</v>
      </c>
      <c r="J35" s="28">
        <f t="shared" si="6"/>
        <v>6.5</v>
      </c>
      <c r="K35" s="28">
        <f t="shared" ca="1" si="4"/>
        <v>8.1367374609873141E-3</v>
      </c>
      <c r="L35" s="28">
        <f t="shared" ca="1" si="1"/>
        <v>1.713593730541161</v>
      </c>
      <c r="M35" s="28">
        <f t="shared" ca="1" si="2"/>
        <v>0.94874080350224332</v>
      </c>
      <c r="N35" s="27"/>
      <c r="O35" s="27"/>
    </row>
    <row r="36" spans="5:15" x14ac:dyDescent="0.25">
      <c r="E36" s="32"/>
      <c r="F36" s="28">
        <f t="shared" si="5"/>
        <v>135</v>
      </c>
      <c r="G36" s="28">
        <f t="shared" ca="1" si="0"/>
        <v>64.838226876355563</v>
      </c>
      <c r="H36" s="28">
        <f t="shared" ca="1" si="3"/>
        <v>70.161773123644437</v>
      </c>
      <c r="J36" s="28">
        <f t="shared" si="6"/>
        <v>6.75</v>
      </c>
      <c r="K36" s="28">
        <f t="shared" ca="1" si="4"/>
        <v>8.183196003722552E-3</v>
      </c>
      <c r="L36" s="28">
        <f t="shared" ca="1" si="1"/>
        <v>1.7120323808936935</v>
      </c>
      <c r="M36" s="28">
        <f t="shared" ca="1" si="2"/>
        <v>0.93260951748769882</v>
      </c>
    </row>
    <row r="37" spans="5:15" x14ac:dyDescent="0.25">
      <c r="E37" s="32"/>
      <c r="F37" s="28">
        <f t="shared" si="5"/>
        <v>140</v>
      </c>
      <c r="G37" s="28">
        <f t="shared" ca="1" si="0"/>
        <v>69.245791766050047</v>
      </c>
      <c r="H37" s="28">
        <f t="shared" ca="1" si="3"/>
        <v>70.754208233949953</v>
      </c>
      <c r="J37" s="28">
        <f t="shared" si="6"/>
        <v>7</v>
      </c>
      <c r="K37" s="28">
        <f t="shared" ca="1" si="4"/>
        <v>8.22144150550542E-3</v>
      </c>
      <c r="L37" s="28">
        <f t="shared" ca="1" si="1"/>
        <v>1.7111046112310251</v>
      </c>
      <c r="M37" s="28">
        <f t="shared" ca="1" si="2"/>
        <v>0.91737921791164778</v>
      </c>
      <c r="N37" s="27"/>
      <c r="O37" s="27"/>
    </row>
    <row r="38" spans="5:15" x14ac:dyDescent="0.25">
      <c r="E38" s="32"/>
      <c r="F38" s="28">
        <f t="shared" si="5"/>
        <v>145</v>
      </c>
      <c r="G38" s="28">
        <f t="shared" ca="1" si="0"/>
        <v>73.704495712316685</v>
      </c>
      <c r="H38" s="28">
        <f t="shared" ca="1" si="3"/>
        <v>71.295504287683315</v>
      </c>
      <c r="J38" s="28">
        <f t="shared" si="6"/>
        <v>7.25</v>
      </c>
      <c r="K38" s="28">
        <f t="shared" ca="1" si="4"/>
        <v>8.2523369867724735E-3</v>
      </c>
      <c r="L38" s="28">
        <f t="shared" ca="1" si="1"/>
        <v>1.7107457617999569</v>
      </c>
      <c r="M38" s="28">
        <f t="shared" ca="1" si="2"/>
        <v>0.9029710407297814</v>
      </c>
      <c r="N38" s="34"/>
      <c r="O38" s="34"/>
    </row>
    <row r="39" spans="5:15" x14ac:dyDescent="0.25">
      <c r="E39" s="32"/>
      <c r="F39" s="28">
        <f t="shared" si="5"/>
        <v>150</v>
      </c>
      <c r="G39" s="28">
        <f t="shared" ca="1" si="0"/>
        <v>78.209483859713572</v>
      </c>
      <c r="H39" s="28">
        <f t="shared" ca="1" si="3"/>
        <v>71.790516140286428</v>
      </c>
      <c r="J39" s="28">
        <f t="shared" si="6"/>
        <v>7.5</v>
      </c>
      <c r="K39" s="28">
        <f t="shared" ca="1" si="4"/>
        <v>8.2766465775116448E-3</v>
      </c>
      <c r="L39" s="28">
        <f t="shared" ca="1" si="1"/>
        <v>1.7108992637471541</v>
      </c>
      <c r="M39" s="28">
        <f t="shared" ca="1" si="2"/>
        <v>0.88931542748940473</v>
      </c>
      <c r="N39" s="34"/>
      <c r="O39" s="34"/>
    </row>
    <row r="40" spans="5:15" x14ac:dyDescent="0.25">
      <c r="E40" s="32"/>
      <c r="F40" s="28">
        <f t="shared" si="5"/>
        <v>155</v>
      </c>
      <c r="G40" s="28">
        <f t="shared" ca="1" si="0"/>
        <v>82.756394992080175</v>
      </c>
      <c r="H40" s="28">
        <f t="shared" ca="1" si="3"/>
        <v>72.243605007919825</v>
      </c>
      <c r="J40" s="28">
        <f t="shared" si="6"/>
        <v>7.75</v>
      </c>
      <c r="K40" s="28">
        <f t="shared" ca="1" si="4"/>
        <v>8.2950481924072596E-3</v>
      </c>
      <c r="L40" s="28">
        <f t="shared" ca="1" si="1"/>
        <v>1.71151541553793</v>
      </c>
      <c r="M40" s="28">
        <f t="shared" ca="1" si="2"/>
        <v>0.87635076111342669</v>
      </c>
      <c r="N40" s="34"/>
      <c r="O40" s="34"/>
    </row>
    <row r="41" spans="5:15" x14ac:dyDescent="0.25">
      <c r="E41" s="32"/>
      <c r="F41" s="28">
        <f t="shared" si="5"/>
        <v>160</v>
      </c>
      <c r="G41" s="28">
        <f t="shared" ref="G41:G59" ca="1" si="7">F41*NORMSDIST((LN(F41/DebtFV)+(IntRate+FVol^2/2)*Maturity)/(FVol*SQRT(Maturity)))-EXP(-IntRate*Maturity)*DebtFV*NORMSDIST((LN(F41/DebtFV)+(IntRate-FVol^2/2)*Maturity)/(FVol*SQRT(Maturity)))</f>
        <v>87.341309768048063</v>
      </c>
      <c r="H41" s="28">
        <f t="shared" ca="1" si="3"/>
        <v>72.658690231951937</v>
      </c>
      <c r="J41" s="28">
        <f t="shared" si="6"/>
        <v>8</v>
      </c>
      <c r="K41" s="28">
        <f t="shared" ca="1" si="4"/>
        <v>8.3081444288564486E-3</v>
      </c>
      <c r="L41" s="28">
        <f t="shared" ca="1" si="1"/>
        <v>1.7125503757267493</v>
      </c>
      <c r="M41" s="28">
        <f t="shared" ca="1" si="2"/>
        <v>0.86402223830289249</v>
      </c>
      <c r="N41" s="34"/>
      <c r="O41" s="34"/>
    </row>
    <row r="42" spans="5:15" x14ac:dyDescent="0.25">
      <c r="E42" s="32"/>
      <c r="F42" s="28">
        <f t="shared" si="5"/>
        <v>165</v>
      </c>
      <c r="G42" s="28">
        <f t="shared" ca="1" si="7"/>
        <v>91.960704165713395</v>
      </c>
      <c r="H42" s="28">
        <f t="shared" ca="1" si="3"/>
        <v>73.039295834286605</v>
      </c>
      <c r="J42" s="28">
        <f t="shared" si="6"/>
        <v>8.25</v>
      </c>
      <c r="K42" s="28">
        <f t="shared" ca="1" si="4"/>
        <v>8.3164719507008381E-3</v>
      </c>
      <c r="L42" s="28">
        <f t="shared" ca="1" si="1"/>
        <v>1.7139653285296954</v>
      </c>
      <c r="M42" s="28">
        <f t="shared" ca="1" si="2"/>
        <v>0.85228093154899109</v>
      </c>
      <c r="N42" s="34"/>
      <c r="O42" s="34"/>
    </row>
    <row r="43" spans="5:15" x14ac:dyDescent="0.25">
      <c r="E43" s="32"/>
      <c r="F43" s="28">
        <f t="shared" si="5"/>
        <v>170</v>
      </c>
      <c r="G43" s="28">
        <f t="shared" ca="1" si="7"/>
        <v>96.611407735032515</v>
      </c>
      <c r="H43" s="28">
        <f t="shared" ca="1" si="3"/>
        <v>73.388592264967485</v>
      </c>
      <c r="J43" s="28">
        <f t="shared" si="6"/>
        <v>8.5</v>
      </c>
      <c r="K43" s="28">
        <f t="shared" ca="1" si="4"/>
        <v>8.3205095818367214E-3</v>
      </c>
      <c r="L43" s="28">
        <f t="shared" ca="1" si="1"/>
        <v>1.7157257884275041</v>
      </c>
      <c r="M43" s="28">
        <f t="shared" ca="1" si="2"/>
        <v>0.84108300420070903</v>
      </c>
      <c r="N43" s="34"/>
      <c r="O43" s="34"/>
    </row>
    <row r="44" spans="5:15" x14ac:dyDescent="0.25">
      <c r="E44" s="32"/>
      <c r="F44" s="28">
        <f t="shared" si="5"/>
        <v>175</v>
      </c>
      <c r="G44" s="28">
        <f t="shared" ca="1" si="7"/>
        <v>101.29056624294003</v>
      </c>
      <c r="H44" s="28">
        <f t="shared" ca="1" si="3"/>
        <v>73.709433757059969</v>
      </c>
      <c r="J44" s="28">
        <f t="shared" si="6"/>
        <v>8.75</v>
      </c>
      <c r="K44" s="28">
        <f t="shared" ca="1" si="4"/>
        <v>8.320685300110181E-3</v>
      </c>
      <c r="L44" s="28">
        <f t="shared" ca="1" si="1"/>
        <v>1.7178010173951899</v>
      </c>
      <c r="M44" s="28">
        <f t="shared" ca="1" si="2"/>
        <v>0.83038904993024765</v>
      </c>
      <c r="N44" s="34"/>
      <c r="O44" s="34"/>
    </row>
    <row r="45" spans="5:15" x14ac:dyDescent="0.25">
      <c r="E45" s="32"/>
      <c r="F45" s="28">
        <f t="shared" si="5"/>
        <v>180</v>
      </c>
      <c r="G45" s="28">
        <f t="shared" ca="1" si="7"/>
        <v>105.99560830199917</v>
      </c>
      <c r="H45" s="28">
        <f t="shared" ca="1" si="3"/>
        <v>74.004391698000831</v>
      </c>
      <c r="J45" s="28">
        <f t="shared" si="6"/>
        <v>9</v>
      </c>
      <c r="K45" s="28">
        <f t="shared" ca="1" si="4"/>
        <v>8.3173822928616081E-3</v>
      </c>
      <c r="L45" s="28">
        <f t="shared" ca="1" si="1"/>
        <v>1.720163533955495</v>
      </c>
      <c r="M45" s="28">
        <f t="shared" ca="1" si="2"/>
        <v>0.82016353395549491</v>
      </c>
      <c r="N45" s="34"/>
      <c r="O45" s="34"/>
    </row>
    <row r="46" spans="5:15" x14ac:dyDescent="0.25">
      <c r="E46" s="32"/>
      <c r="F46" s="28">
        <f t="shared" si="5"/>
        <v>185</v>
      </c>
      <c r="G46" s="28">
        <f t="shared" ca="1" si="7"/>
        <v>110.72421559114454</v>
      </c>
      <c r="H46" s="28">
        <f t="shared" ca="1" si="3"/>
        <v>74.275784408855458</v>
      </c>
      <c r="J46" s="28">
        <f t="shared" si="6"/>
        <v>9.25</v>
      </c>
      <c r="K46" s="28">
        <f t="shared" ca="1" si="4"/>
        <v>8.3109442107264994E-3</v>
      </c>
      <c r="L46" s="28">
        <f t="shared" ca="1" si="1"/>
        <v>1.7227886975480093</v>
      </c>
      <c r="M46" s="28">
        <f t="shared" ca="1" si="2"/>
        <v>0.8103743180032762</v>
      </c>
      <c r="N46" s="33"/>
      <c r="O46" s="34"/>
    </row>
    <row r="47" spans="5:15" x14ac:dyDescent="0.25">
      <c r="E47" s="32"/>
      <c r="F47" s="28">
        <f t="shared" si="5"/>
        <v>190</v>
      </c>
      <c r="G47" s="28">
        <f t="shared" ca="1" si="7"/>
        <v>115.4742963016997</v>
      </c>
      <c r="H47" s="28">
        <f t="shared" ca="1" si="3"/>
        <v>74.525703698300305</v>
      </c>
      <c r="J47" s="28">
        <f t="shared" si="6"/>
        <v>9.5</v>
      </c>
      <c r="K47" s="28">
        <f t="shared" ca="1" si="4"/>
        <v>8.3016797353185519E-3</v>
      </c>
      <c r="L47" s="28">
        <f t="shared" ca="1" si="1"/>
        <v>1.7256543550248586</v>
      </c>
      <c r="M47" s="28">
        <f t="shared" ca="1" si="2"/>
        <v>0.80099225457951206</v>
      </c>
      <c r="O47" s="33"/>
    </row>
    <row r="48" spans="5:15" x14ac:dyDescent="0.25">
      <c r="F48" s="28">
        <f t="shared" si="5"/>
        <v>195</v>
      </c>
      <c r="G48" s="28">
        <f t="shared" ca="1" si="7"/>
        <v>120.24396146992675</v>
      </c>
      <c r="H48" s="28">
        <f t="shared" ca="1" si="3"/>
        <v>74.756038530073255</v>
      </c>
      <c r="J48" s="28">
        <f t="shared" si="6"/>
        <v>9.75</v>
      </c>
      <c r="K48" s="28">
        <f t="shared" ca="1" si="4"/>
        <v>8.2898665587049052E-3</v>
      </c>
      <c r="L48" s="28">
        <f t="shared" ca="1" si="1"/>
        <v>1.7287405386681827</v>
      </c>
      <c r="M48" s="28">
        <f t="shared" ca="1" si="2"/>
        <v>0.79199083890842281</v>
      </c>
    </row>
    <row r="49" spans="5:15" x14ac:dyDescent="0.25">
      <c r="F49" s="28">
        <f t="shared" si="5"/>
        <v>200</v>
      </c>
      <c r="G49" s="28">
        <f t="shared" ca="1" si="7"/>
        <v>125.03150388662996</v>
      </c>
      <c r="H49" s="28">
        <f t="shared" ca="1" si="3"/>
        <v>74.968496113370037</v>
      </c>
      <c r="J49" s="28">
        <f t="shared" si="6"/>
        <v>10</v>
      </c>
      <c r="K49" s="28">
        <f t="shared" ca="1" si="4"/>
        <v>8.2757548576585568E-3</v>
      </c>
      <c r="L49" s="28">
        <f t="shared" ca="1" si="1"/>
        <v>1.7320292071511243</v>
      </c>
      <c r="M49" s="28">
        <f t="shared" ca="1" si="2"/>
        <v>0.78334590910061075</v>
      </c>
      <c r="N49" s="35"/>
      <c r="O49" s="35"/>
    </row>
    <row r="50" spans="5:15" x14ac:dyDescent="0.25">
      <c r="F50" s="28">
        <f t="shared" si="5"/>
        <v>205</v>
      </c>
      <c r="G50" s="28">
        <f t="shared" ca="1" si="7"/>
        <v>129.83537930332869</v>
      </c>
      <c r="H50" s="28">
        <f t="shared" ca="1" si="3"/>
        <v>75.164620696671307</v>
      </c>
    </row>
    <row r="51" spans="5:15" x14ac:dyDescent="0.25">
      <c r="E51" s="32"/>
      <c r="F51" s="28">
        <f t="shared" si="5"/>
        <v>210</v>
      </c>
      <c r="G51" s="28">
        <f t="shared" ca="1" si="7"/>
        <v>134.65418968232927</v>
      </c>
      <c r="H51" s="28">
        <f t="shared" ca="1" si="3"/>
        <v>75.345810317670725</v>
      </c>
      <c r="L51" s="27"/>
      <c r="M51" s="27"/>
      <c r="N51" s="27"/>
      <c r="O51" s="27"/>
    </row>
    <row r="52" spans="5:15" x14ac:dyDescent="0.25">
      <c r="E52" s="32"/>
      <c r="F52" s="28">
        <f t="shared" si="5"/>
        <v>215</v>
      </c>
      <c r="G52" s="28">
        <f t="shared" ca="1" si="7"/>
        <v>139.48666826413074</v>
      </c>
      <c r="H52" s="28">
        <f t="shared" ca="1" si="3"/>
        <v>75.513331735869258</v>
      </c>
    </row>
    <row r="53" spans="5:15" x14ac:dyDescent="0.25">
      <c r="E53" s="32"/>
      <c r="F53" s="28">
        <f t="shared" si="5"/>
        <v>220</v>
      </c>
      <c r="G53" s="28">
        <f t="shared" ca="1" si="7"/>
        <v>144.33166624972705</v>
      </c>
      <c r="H53" s="28">
        <f t="shared" ca="1" si="3"/>
        <v>75.66833375027295</v>
      </c>
      <c r="L53" s="27"/>
      <c r="M53" s="27"/>
      <c r="N53" s="27"/>
      <c r="O53" s="27"/>
    </row>
    <row r="54" spans="5:15" x14ac:dyDescent="0.25">
      <c r="E54" s="32"/>
      <c r="F54" s="28">
        <f t="shared" si="5"/>
        <v>225</v>
      </c>
      <c r="G54" s="28">
        <f t="shared" ca="1" si="7"/>
        <v>149.18814091741194</v>
      </c>
      <c r="H54" s="28">
        <f t="shared" ca="1" si="3"/>
        <v>75.811859082588057</v>
      </c>
      <c r="L54" s="34"/>
      <c r="M54" s="34"/>
      <c r="N54" s="34"/>
      <c r="O54" s="34"/>
    </row>
    <row r="55" spans="5:15" x14ac:dyDescent="0.25">
      <c r="E55" s="32"/>
      <c r="F55" s="28">
        <f t="shared" si="5"/>
        <v>230</v>
      </c>
      <c r="G55" s="28">
        <f t="shared" ca="1" si="7"/>
        <v>154.05514501366542</v>
      </c>
      <c r="H55" s="28">
        <f t="shared" ca="1" si="3"/>
        <v>75.944854986334576</v>
      </c>
      <c r="L55" s="34"/>
      <c r="M55" s="34"/>
      <c r="N55" s="34"/>
      <c r="O55" s="34"/>
    </row>
    <row r="56" spans="5:15" x14ac:dyDescent="0.25">
      <c r="E56" s="32"/>
      <c r="F56" s="28">
        <f t="shared" si="5"/>
        <v>235</v>
      </c>
      <c r="G56" s="28">
        <f t="shared" ca="1" si="7"/>
        <v>158.93181727567929</v>
      </c>
      <c r="H56" s="28">
        <f t="shared" ca="1" si="3"/>
        <v>76.068182724320707</v>
      </c>
      <c r="J56" s="34"/>
      <c r="L56" s="34"/>
      <c r="M56" s="34"/>
      <c r="N56" s="34"/>
      <c r="O56" s="34"/>
    </row>
    <row r="57" spans="5:15" x14ac:dyDescent="0.25">
      <c r="E57" s="32"/>
      <c r="F57" s="28">
        <f t="shared" si="5"/>
        <v>240</v>
      </c>
      <c r="G57" s="28">
        <f t="shared" ca="1" si="7"/>
        <v>163.81737395918188</v>
      </c>
      <c r="H57" s="28">
        <f t="shared" ca="1" si="3"/>
        <v>76.182626040818121</v>
      </c>
      <c r="J57" s="34"/>
      <c r="L57" s="34"/>
      <c r="M57" s="34"/>
      <c r="N57" s="34"/>
      <c r="O57" s="34"/>
    </row>
    <row r="58" spans="5:15" x14ac:dyDescent="0.25">
      <c r="E58" s="32"/>
      <c r="F58" s="28">
        <f t="shared" si="5"/>
        <v>245</v>
      </c>
      <c r="G58" s="28">
        <f t="shared" ca="1" si="7"/>
        <v>168.71110125959223</v>
      </c>
      <c r="H58" s="28">
        <f t="shared" ca="1" si="3"/>
        <v>76.288898740407774</v>
      </c>
      <c r="J58" s="33"/>
      <c r="L58" s="34"/>
      <c r="M58" s="34"/>
      <c r="N58" s="34"/>
      <c r="O58" s="34"/>
    </row>
    <row r="59" spans="5:15" x14ac:dyDescent="0.25">
      <c r="E59" s="32"/>
      <c r="F59" s="28">
        <f t="shared" si="5"/>
        <v>250</v>
      </c>
      <c r="G59" s="28">
        <f t="shared" ca="1" si="7"/>
        <v>173.61234852731727</v>
      </c>
      <c r="H59" s="28">
        <f t="shared" ca="1" si="3"/>
        <v>76.387651472682734</v>
      </c>
      <c r="L59" s="34"/>
      <c r="M59" s="34"/>
      <c r="N59" s="34"/>
      <c r="O59" s="34"/>
    </row>
    <row r="60" spans="5:15" x14ac:dyDescent="0.25">
      <c r="E60" s="32"/>
      <c r="L60" s="33"/>
      <c r="M60" s="34"/>
      <c r="N60" s="34"/>
      <c r="O60" s="34"/>
    </row>
    <row r="61" spans="5:15" x14ac:dyDescent="0.25">
      <c r="E61" s="32"/>
      <c r="M61" s="33"/>
      <c r="N61" s="34"/>
      <c r="O61" s="34"/>
    </row>
    <row r="62" spans="5:15" x14ac:dyDescent="0.25">
      <c r="E62" s="32"/>
      <c r="N62" s="33"/>
      <c r="O62" s="34"/>
    </row>
    <row r="63" spans="5:15" x14ac:dyDescent="0.25">
      <c r="E63" s="32"/>
      <c r="O63" s="33"/>
    </row>
    <row r="65" spans="5:15" x14ac:dyDescent="0.25">
      <c r="G65" s="35"/>
      <c r="H65" s="35"/>
      <c r="I65" s="35"/>
      <c r="J65" s="35"/>
      <c r="K65" s="35"/>
      <c r="L65" s="35"/>
      <c r="M65" s="35"/>
      <c r="N65" s="35"/>
      <c r="O65" s="35"/>
    </row>
    <row r="67" spans="5:15" x14ac:dyDescent="0.25">
      <c r="E67" s="32"/>
      <c r="G67" s="27"/>
      <c r="H67" s="27"/>
      <c r="I67" s="27"/>
      <c r="J67" s="27"/>
      <c r="K67" s="27"/>
      <c r="L67" s="27"/>
      <c r="M67" s="27"/>
      <c r="N67" s="27"/>
      <c r="O67" s="27"/>
    </row>
    <row r="68" spans="5:15" x14ac:dyDescent="0.25">
      <c r="E68" s="32"/>
    </row>
    <row r="69" spans="5:15" x14ac:dyDescent="0.25">
      <c r="E69" s="32"/>
      <c r="G69" s="27"/>
      <c r="H69" s="27"/>
      <c r="I69" s="27"/>
      <c r="J69" s="27"/>
      <c r="K69" s="27"/>
      <c r="L69" s="27"/>
      <c r="M69" s="27"/>
      <c r="N69" s="27"/>
      <c r="O69" s="27"/>
    </row>
    <row r="70" spans="5:15" x14ac:dyDescent="0.25">
      <c r="E70" s="32"/>
      <c r="G70" s="34"/>
      <c r="H70" s="34"/>
      <c r="I70" s="34"/>
      <c r="J70" s="34"/>
      <c r="K70" s="34"/>
      <c r="L70" s="34"/>
      <c r="M70" s="34"/>
      <c r="N70" s="34"/>
      <c r="O70" s="34"/>
    </row>
    <row r="71" spans="5:15" x14ac:dyDescent="0.25">
      <c r="E71" s="32"/>
      <c r="G71" s="33"/>
      <c r="H71" s="34"/>
      <c r="I71" s="34"/>
      <c r="J71" s="34"/>
      <c r="K71" s="34"/>
      <c r="L71" s="34"/>
      <c r="M71" s="34"/>
      <c r="N71" s="34"/>
      <c r="O71" s="34"/>
    </row>
    <row r="72" spans="5:15" x14ac:dyDescent="0.25">
      <c r="E72" s="32"/>
      <c r="H72" s="33"/>
      <c r="I72" s="34"/>
      <c r="J72" s="34"/>
      <c r="K72" s="34"/>
      <c r="L72" s="34"/>
      <c r="M72" s="34"/>
      <c r="N72" s="34"/>
      <c r="O72" s="34"/>
    </row>
    <row r="73" spans="5:15" x14ac:dyDescent="0.25">
      <c r="E73" s="32"/>
      <c r="I73" s="33"/>
      <c r="J73" s="34"/>
      <c r="K73" s="34"/>
      <c r="L73" s="34"/>
      <c r="M73" s="34"/>
      <c r="N73" s="34"/>
      <c r="O73" s="34"/>
    </row>
    <row r="74" spans="5:15" x14ac:dyDescent="0.25">
      <c r="E74" s="32"/>
      <c r="J74" s="33"/>
      <c r="K74" s="34"/>
      <c r="L74" s="34"/>
      <c r="M74" s="34"/>
      <c r="N74" s="34"/>
      <c r="O74" s="34"/>
    </row>
    <row r="75" spans="5:15" x14ac:dyDescent="0.25">
      <c r="E75" s="32"/>
      <c r="K75" s="33"/>
      <c r="L75" s="34"/>
      <c r="M75" s="34"/>
      <c r="N75" s="34"/>
      <c r="O75" s="34"/>
    </row>
    <row r="76" spans="5:15" x14ac:dyDescent="0.25">
      <c r="E76" s="32"/>
      <c r="L76" s="33"/>
      <c r="M76" s="34"/>
      <c r="N76" s="34"/>
      <c r="O76" s="34"/>
    </row>
    <row r="77" spans="5:15" x14ac:dyDescent="0.25">
      <c r="E77" s="32"/>
      <c r="M77" s="33"/>
      <c r="N77" s="34"/>
      <c r="O77" s="34"/>
    </row>
    <row r="78" spans="5:15" x14ac:dyDescent="0.25">
      <c r="E78" s="32"/>
      <c r="N78" s="33"/>
      <c r="O78" s="34"/>
    </row>
    <row r="79" spans="5:15" x14ac:dyDescent="0.25">
      <c r="E79" s="32"/>
      <c r="O79" s="33"/>
    </row>
  </sheetData>
  <mergeCells count="1">
    <mergeCell ref="B8:C8"/>
  </mergeCells>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5A523-9240-45C1-A517-C536A457A6A9}">
  <dimension ref="A2:G945"/>
  <sheetViews>
    <sheetView zoomScale="170" zoomScaleNormal="170" workbookViewId="0">
      <selection activeCell="E5" sqref="E5"/>
    </sheetView>
  </sheetViews>
  <sheetFormatPr defaultRowHeight="13.2" x14ac:dyDescent="0.25"/>
  <sheetData>
    <row r="2" spans="1:7" x14ac:dyDescent="0.25">
      <c r="B2" s="141">
        <v>0.5</v>
      </c>
    </row>
    <row r="4" spans="1:7" x14ac:dyDescent="0.25">
      <c r="B4">
        <v>1</v>
      </c>
      <c r="C4">
        <v>2</v>
      </c>
      <c r="G4" s="142"/>
    </row>
    <row r="5" spans="1:7" x14ac:dyDescent="0.25">
      <c r="A5">
        <f ca="1">NORMSINV(RAND())</f>
        <v>0.14097143728785805</v>
      </c>
      <c r="B5">
        <f ca="1">A5*SQRT($B$2)+SQRT(1-$B$2)*NORMSINV(RAND())</f>
        <v>-0.71512045705550076</v>
      </c>
      <c r="C5">
        <f ca="1">A5*SQRT($B$2)+SQRT(1-$B$2)*NORMSINV(RAND())</f>
        <v>-0.34399711009022232</v>
      </c>
      <c r="E5">
        <f ca="1">CORREL(B5:B945,C5:C945)</f>
        <v>0.50262985253027737</v>
      </c>
    </row>
    <row r="6" spans="1:7" x14ac:dyDescent="0.25">
      <c r="A6">
        <f t="shared" ref="A6:A69" ca="1" si="0">NORMSINV(RAND())</f>
        <v>-0.30135634414739021</v>
      </c>
      <c r="B6">
        <f t="shared" ref="B6:B69" ca="1" si="1">A6*SQRT($B$2)+SQRT(1-$B$2)*NORMSINV(RAND())</f>
        <v>-0.23783281431162051</v>
      </c>
      <c r="C6">
        <f t="shared" ref="C6:C69" ca="1" si="2">A6*SQRT($B$2)+SQRT(1-$B$2)*NORMSINV(RAND())</f>
        <v>0.32480287081533177</v>
      </c>
    </row>
    <row r="7" spans="1:7" x14ac:dyDescent="0.25">
      <c r="A7">
        <f t="shared" ca="1" si="0"/>
        <v>0.56553794534630819</v>
      </c>
      <c r="B7">
        <f t="shared" ca="1" si="1"/>
        <v>0.50331042542271076</v>
      </c>
      <c r="C7">
        <f t="shared" ca="1" si="2"/>
        <v>0.63388378306497262</v>
      </c>
    </row>
    <row r="8" spans="1:7" x14ac:dyDescent="0.25">
      <c r="A8">
        <f t="shared" ca="1" si="0"/>
        <v>3.1332022178205486E-2</v>
      </c>
      <c r="B8">
        <f t="shared" ca="1" si="1"/>
        <v>1.6803030298866015</v>
      </c>
      <c r="C8">
        <f t="shared" ca="1" si="2"/>
        <v>0.41572986224504194</v>
      </c>
    </row>
    <row r="9" spans="1:7" x14ac:dyDescent="0.25">
      <c r="A9">
        <f t="shared" ca="1" si="0"/>
        <v>1.0501496835737945</v>
      </c>
      <c r="B9">
        <f t="shared" ca="1" si="1"/>
        <v>1.5907587118441424</v>
      </c>
      <c r="C9">
        <f t="shared" ca="1" si="2"/>
        <v>-0.12633964468897996</v>
      </c>
    </row>
    <row r="10" spans="1:7" x14ac:dyDescent="0.25">
      <c r="A10">
        <f t="shared" ca="1" si="0"/>
        <v>-7.0903200760550747E-2</v>
      </c>
      <c r="B10">
        <f t="shared" ca="1" si="1"/>
        <v>-0.46509796997687192</v>
      </c>
      <c r="C10">
        <f t="shared" ca="1" si="2"/>
        <v>-0.48939566606748669</v>
      </c>
    </row>
    <row r="11" spans="1:7" x14ac:dyDescent="0.25">
      <c r="A11">
        <f t="shared" ca="1" si="0"/>
        <v>-0.2404093669913398</v>
      </c>
      <c r="B11">
        <f t="shared" ca="1" si="1"/>
        <v>0.18840446032468194</v>
      </c>
      <c r="C11">
        <f t="shared" ca="1" si="2"/>
        <v>-0.84866381954951764</v>
      </c>
    </row>
    <row r="12" spans="1:7" x14ac:dyDescent="0.25">
      <c r="A12">
        <f t="shared" ca="1" si="0"/>
        <v>-7.8274614081342772E-2</v>
      </c>
      <c r="B12">
        <f t="shared" ca="1" si="1"/>
        <v>-0.93706216289053712</v>
      </c>
      <c r="C12">
        <f t="shared" ca="1" si="2"/>
        <v>0.64104588462843315</v>
      </c>
    </row>
    <row r="13" spans="1:7" x14ac:dyDescent="0.25">
      <c r="A13">
        <f t="shared" ca="1" si="0"/>
        <v>-0.7790590363077039</v>
      </c>
      <c r="B13">
        <f t="shared" ca="1" si="1"/>
        <v>-0.20496961409207298</v>
      </c>
      <c r="C13">
        <f t="shared" ca="1" si="2"/>
        <v>6.6442248846122265E-2</v>
      </c>
    </row>
    <row r="14" spans="1:7" x14ac:dyDescent="0.25">
      <c r="A14">
        <f t="shared" ca="1" si="0"/>
        <v>1.4819988195790219</v>
      </c>
      <c r="B14">
        <f t="shared" ca="1" si="1"/>
        <v>0.14900534003240207</v>
      </c>
      <c r="C14">
        <f t="shared" ca="1" si="2"/>
        <v>1.4173007104293414</v>
      </c>
    </row>
    <row r="15" spans="1:7" x14ac:dyDescent="0.25">
      <c r="A15">
        <f t="shared" ca="1" si="0"/>
        <v>-1.3555629068416741</v>
      </c>
      <c r="B15">
        <f t="shared" ca="1" si="1"/>
        <v>-0.51452188021512879</v>
      </c>
      <c r="C15">
        <f t="shared" ca="1" si="2"/>
        <v>-1.3316399181311596</v>
      </c>
    </row>
    <row r="16" spans="1:7" x14ac:dyDescent="0.25">
      <c r="A16">
        <f t="shared" ca="1" si="0"/>
        <v>0.70299703000857849</v>
      </c>
      <c r="B16">
        <f t="shared" ca="1" si="1"/>
        <v>0.65791309248816832</v>
      </c>
      <c r="C16">
        <f t="shared" ca="1" si="2"/>
        <v>0.21260516965980097</v>
      </c>
    </row>
    <row r="17" spans="1:3" x14ac:dyDescent="0.25">
      <c r="A17">
        <f t="shared" ca="1" si="0"/>
        <v>0.53208902214506582</v>
      </c>
      <c r="B17">
        <f t="shared" ca="1" si="1"/>
        <v>-1.1596293008501068E-2</v>
      </c>
      <c r="C17">
        <f t="shared" ca="1" si="2"/>
        <v>0.45749396230155964</v>
      </c>
    </row>
    <row r="18" spans="1:3" x14ac:dyDescent="0.25">
      <c r="A18">
        <f t="shared" ca="1" si="0"/>
        <v>-0.147701171230989</v>
      </c>
      <c r="B18">
        <f t="shared" ca="1" si="1"/>
        <v>-1.2218284918990374</v>
      </c>
      <c r="C18">
        <f t="shared" ca="1" si="2"/>
        <v>-0.5146812395039766</v>
      </c>
    </row>
    <row r="19" spans="1:3" x14ac:dyDescent="0.25">
      <c r="A19">
        <f t="shared" ca="1" si="0"/>
        <v>1.0842302214469677</v>
      </c>
      <c r="B19">
        <f t="shared" ca="1" si="1"/>
        <v>-0.22585998449342792</v>
      </c>
      <c r="C19">
        <f t="shared" ca="1" si="2"/>
        <v>1.1767065433721511</v>
      </c>
    </row>
    <row r="20" spans="1:3" x14ac:dyDescent="0.25">
      <c r="A20">
        <f t="shared" ca="1" si="0"/>
        <v>-1.3104992982176631</v>
      </c>
      <c r="B20">
        <f t="shared" ca="1" si="1"/>
        <v>-1.0891067187091992</v>
      </c>
      <c r="C20">
        <f t="shared" ca="1" si="2"/>
        <v>-1.778964561573195</v>
      </c>
    </row>
    <row r="21" spans="1:3" x14ac:dyDescent="0.25">
      <c r="A21">
        <f t="shared" ca="1" si="0"/>
        <v>-2.6397264843318488E-2</v>
      </c>
      <c r="B21">
        <f t="shared" ca="1" si="1"/>
        <v>-0.77793509462463728</v>
      </c>
      <c r="C21">
        <f t="shared" ca="1" si="2"/>
        <v>1.0036623847995652</v>
      </c>
    </row>
    <row r="22" spans="1:3" x14ac:dyDescent="0.25">
      <c r="A22">
        <f t="shared" ca="1" si="0"/>
        <v>-0.69592377492258151</v>
      </c>
      <c r="B22">
        <f t="shared" ca="1" si="1"/>
        <v>-2.1716760177668433</v>
      </c>
      <c r="C22">
        <f t="shared" ca="1" si="2"/>
        <v>-0.89261644041548149</v>
      </c>
    </row>
    <row r="23" spans="1:3" x14ac:dyDescent="0.25">
      <c r="A23">
        <f t="shared" ca="1" si="0"/>
        <v>0.93805604615920746</v>
      </c>
      <c r="B23">
        <f t="shared" ca="1" si="1"/>
        <v>0.49674835354821234</v>
      </c>
      <c r="C23">
        <f t="shared" ca="1" si="2"/>
        <v>0.34263060343519802</v>
      </c>
    </row>
    <row r="24" spans="1:3" x14ac:dyDescent="0.25">
      <c r="A24">
        <f t="shared" ca="1" si="0"/>
        <v>-1.4993208227560491</v>
      </c>
      <c r="B24">
        <f t="shared" ca="1" si="1"/>
        <v>-0.86545437022104299</v>
      </c>
      <c r="C24">
        <f t="shared" ca="1" si="2"/>
        <v>-0.46353358324998073</v>
      </c>
    </row>
    <row r="25" spans="1:3" x14ac:dyDescent="0.25">
      <c r="A25">
        <f t="shared" ca="1" si="0"/>
        <v>7.4166772351023036E-2</v>
      </c>
      <c r="B25">
        <f t="shared" ca="1" si="1"/>
        <v>0.49599966663304179</v>
      </c>
      <c r="C25">
        <f t="shared" ca="1" si="2"/>
        <v>1.6229397275422321</v>
      </c>
    </row>
    <row r="26" spans="1:3" x14ac:dyDescent="0.25">
      <c r="A26">
        <f t="shared" ca="1" si="0"/>
        <v>0.20081931414809501</v>
      </c>
      <c r="B26">
        <f t="shared" ca="1" si="1"/>
        <v>0.13028465451472446</v>
      </c>
      <c r="C26">
        <f t="shared" ca="1" si="2"/>
        <v>0.90398536280455788</v>
      </c>
    </row>
    <row r="27" spans="1:3" x14ac:dyDescent="0.25">
      <c r="A27">
        <f t="shared" ca="1" si="0"/>
        <v>0.64175728671054111</v>
      </c>
      <c r="B27">
        <f t="shared" ca="1" si="1"/>
        <v>2.0351737272934893</v>
      </c>
      <c r="C27">
        <f t="shared" ca="1" si="2"/>
        <v>-8.2452038441515274E-2</v>
      </c>
    </row>
    <row r="28" spans="1:3" x14ac:dyDescent="0.25">
      <c r="A28">
        <f t="shared" ca="1" si="0"/>
        <v>-0.53240061159135388</v>
      </c>
      <c r="B28">
        <f t="shared" ca="1" si="1"/>
        <v>0.33559751048743358</v>
      </c>
      <c r="C28">
        <f t="shared" ca="1" si="2"/>
        <v>-0.83694903366971274</v>
      </c>
    </row>
    <row r="29" spans="1:3" x14ac:dyDescent="0.25">
      <c r="A29">
        <f t="shared" ca="1" si="0"/>
        <v>0.18689602315152673</v>
      </c>
      <c r="B29">
        <f t="shared" ca="1" si="1"/>
        <v>0.24895260996873914</v>
      </c>
      <c r="C29">
        <f t="shared" ca="1" si="2"/>
        <v>-1.4682971813280274</v>
      </c>
    </row>
    <row r="30" spans="1:3" x14ac:dyDescent="0.25">
      <c r="A30">
        <f t="shared" ca="1" si="0"/>
        <v>8.6774686467429168E-2</v>
      </c>
      <c r="B30">
        <f t="shared" ca="1" si="1"/>
        <v>-0.35862143414438952</v>
      </c>
      <c r="C30">
        <f t="shared" ca="1" si="2"/>
        <v>0.79892116530612711</v>
      </c>
    </row>
    <row r="31" spans="1:3" x14ac:dyDescent="0.25">
      <c r="A31">
        <f t="shared" ca="1" si="0"/>
        <v>0.22809077392185262</v>
      </c>
      <c r="B31">
        <f t="shared" ca="1" si="1"/>
        <v>0.73164979007587161</v>
      </c>
      <c r="C31">
        <f t="shared" ca="1" si="2"/>
        <v>1.344842290722535</v>
      </c>
    </row>
    <row r="32" spans="1:3" x14ac:dyDescent="0.25">
      <c r="A32">
        <f t="shared" ca="1" si="0"/>
        <v>2.6316120633051248</v>
      </c>
      <c r="B32">
        <f t="shared" ca="1" si="1"/>
        <v>0.89555930031629116</v>
      </c>
      <c r="C32">
        <f t="shared" ca="1" si="2"/>
        <v>2.06315759035181</v>
      </c>
    </row>
    <row r="33" spans="1:3" x14ac:dyDescent="0.25">
      <c r="A33">
        <f t="shared" ca="1" si="0"/>
        <v>0.8272612263377257</v>
      </c>
      <c r="B33">
        <f t="shared" ca="1" si="1"/>
        <v>0.18783957014338459</v>
      </c>
      <c r="C33">
        <f t="shared" ca="1" si="2"/>
        <v>0.78094294536084008</v>
      </c>
    </row>
    <row r="34" spans="1:3" x14ac:dyDescent="0.25">
      <c r="A34">
        <f t="shared" ca="1" si="0"/>
        <v>-0.45400484273380626</v>
      </c>
      <c r="B34">
        <f t="shared" ca="1" si="1"/>
        <v>-0.62598814247335488</v>
      </c>
      <c r="C34">
        <f t="shared" ca="1" si="2"/>
        <v>-0.90607768404932387</v>
      </c>
    </row>
    <row r="35" spans="1:3" x14ac:dyDescent="0.25">
      <c r="A35">
        <f t="shared" ca="1" si="0"/>
        <v>-0.51944046087537388</v>
      </c>
      <c r="B35">
        <f t="shared" ca="1" si="1"/>
        <v>0.13970831071954198</v>
      </c>
      <c r="C35">
        <f t="shared" ca="1" si="2"/>
        <v>-0.78351300113059286</v>
      </c>
    </row>
    <row r="36" spans="1:3" x14ac:dyDescent="0.25">
      <c r="A36">
        <f t="shared" ca="1" si="0"/>
        <v>-0.54540567221495384</v>
      </c>
      <c r="B36">
        <f t="shared" ca="1" si="1"/>
        <v>6.3365557547701568E-2</v>
      </c>
      <c r="C36">
        <f t="shared" ca="1" si="2"/>
        <v>0.33732664337648693</v>
      </c>
    </row>
    <row r="37" spans="1:3" x14ac:dyDescent="0.25">
      <c r="A37">
        <f t="shared" ca="1" si="0"/>
        <v>0.49932802550563554</v>
      </c>
      <c r="B37">
        <f t="shared" ca="1" si="1"/>
        <v>0.33633565520194164</v>
      </c>
      <c r="C37">
        <f t="shared" ca="1" si="2"/>
        <v>0.2909788183024638</v>
      </c>
    </row>
    <row r="38" spans="1:3" x14ac:dyDescent="0.25">
      <c r="A38">
        <f t="shared" ca="1" si="0"/>
        <v>5.4211032763930786E-2</v>
      </c>
      <c r="B38">
        <f t="shared" ca="1" si="1"/>
        <v>0.76941271039749837</v>
      </c>
      <c r="C38">
        <f t="shared" ca="1" si="2"/>
        <v>0.85264216144243488</v>
      </c>
    </row>
    <row r="39" spans="1:3" x14ac:dyDescent="0.25">
      <c r="A39">
        <f t="shared" ca="1" si="0"/>
        <v>1.1541084037660132</v>
      </c>
      <c r="B39">
        <f t="shared" ca="1" si="1"/>
        <v>0.2594681819839384</v>
      </c>
      <c r="C39">
        <f t="shared" ca="1" si="2"/>
        <v>0.95741121207981916</v>
      </c>
    </row>
    <row r="40" spans="1:3" x14ac:dyDescent="0.25">
      <c r="A40">
        <f t="shared" ca="1" si="0"/>
        <v>-0.66091638090982419</v>
      </c>
      <c r="B40">
        <f t="shared" ca="1" si="1"/>
        <v>0.24898563622355002</v>
      </c>
      <c r="C40">
        <f t="shared" ca="1" si="2"/>
        <v>-1.2095388798197169</v>
      </c>
    </row>
    <row r="41" spans="1:3" x14ac:dyDescent="0.25">
      <c r="A41">
        <f t="shared" ca="1" si="0"/>
        <v>-0.72544666968292115</v>
      </c>
      <c r="B41">
        <f t="shared" ca="1" si="1"/>
        <v>-1.1160852391328207</v>
      </c>
      <c r="C41">
        <f t="shared" ca="1" si="2"/>
        <v>0.10009922366687307</v>
      </c>
    </row>
    <row r="42" spans="1:3" x14ac:dyDescent="0.25">
      <c r="A42">
        <f t="shared" ca="1" si="0"/>
        <v>1.4250189201514198</v>
      </c>
      <c r="B42">
        <f t="shared" ca="1" si="1"/>
        <v>1.494262093770294</v>
      </c>
      <c r="C42">
        <f t="shared" ca="1" si="2"/>
        <v>1.0510390074372635</v>
      </c>
    </row>
    <row r="43" spans="1:3" x14ac:dyDescent="0.25">
      <c r="A43">
        <f t="shared" ca="1" si="0"/>
        <v>-1.2423124458863342</v>
      </c>
      <c r="B43">
        <f t="shared" ca="1" si="1"/>
        <v>-0.98497181071038353</v>
      </c>
      <c r="C43">
        <f t="shared" ca="1" si="2"/>
        <v>0.12579789724567458</v>
      </c>
    </row>
    <row r="44" spans="1:3" x14ac:dyDescent="0.25">
      <c r="A44">
        <f t="shared" ca="1" si="0"/>
        <v>-0.27574236314697809</v>
      </c>
      <c r="B44">
        <f t="shared" ca="1" si="1"/>
        <v>0.30433355783223126</v>
      </c>
      <c r="C44">
        <f t="shared" ca="1" si="2"/>
        <v>-0.26839455227387371</v>
      </c>
    </row>
    <row r="45" spans="1:3" x14ac:dyDescent="0.25">
      <c r="A45">
        <f t="shared" ca="1" si="0"/>
        <v>-1.5252390646886067</v>
      </c>
      <c r="B45">
        <f t="shared" ca="1" si="1"/>
        <v>-1.2077545397438723</v>
      </c>
      <c r="C45">
        <f t="shared" ca="1" si="2"/>
        <v>-1.1408825518890375</v>
      </c>
    </row>
    <row r="46" spans="1:3" x14ac:dyDescent="0.25">
      <c r="A46">
        <f t="shared" ca="1" si="0"/>
        <v>0.5772380545096033</v>
      </c>
      <c r="B46">
        <f t="shared" ca="1" si="1"/>
        <v>0.36310904558434393</v>
      </c>
      <c r="C46">
        <f t="shared" ca="1" si="2"/>
        <v>0.13545408222681837</v>
      </c>
    </row>
    <row r="47" spans="1:3" x14ac:dyDescent="0.25">
      <c r="A47">
        <f t="shared" ca="1" si="0"/>
        <v>-0.57939911941485278</v>
      </c>
      <c r="B47">
        <f t="shared" ca="1" si="1"/>
        <v>-1.5285580078598255</v>
      </c>
      <c r="C47">
        <f t="shared" ca="1" si="2"/>
        <v>1.1087217305006387</v>
      </c>
    </row>
    <row r="48" spans="1:3" x14ac:dyDescent="0.25">
      <c r="A48">
        <f t="shared" ca="1" si="0"/>
        <v>0.81699095017352186</v>
      </c>
      <c r="B48">
        <f t="shared" ca="1" si="1"/>
        <v>0.55298750428605437</v>
      </c>
      <c r="C48">
        <f t="shared" ca="1" si="2"/>
        <v>-0.56281179790844638</v>
      </c>
    </row>
    <row r="49" spans="1:3" x14ac:dyDescent="0.25">
      <c r="A49">
        <f t="shared" ca="1" si="0"/>
        <v>2.6059190391733874E-2</v>
      </c>
      <c r="B49">
        <f t="shared" ca="1" si="1"/>
        <v>-3.1110798667684618E-2</v>
      </c>
      <c r="C49">
        <f t="shared" ca="1" si="2"/>
        <v>-0.51221514480132624</v>
      </c>
    </row>
    <row r="50" spans="1:3" x14ac:dyDescent="0.25">
      <c r="A50">
        <f t="shared" ca="1" si="0"/>
        <v>-0.93444784908334033</v>
      </c>
      <c r="B50">
        <f t="shared" ca="1" si="1"/>
        <v>0.33812394138710222</v>
      </c>
      <c r="C50">
        <f t="shared" ca="1" si="2"/>
        <v>-0.2709282749713664</v>
      </c>
    </row>
    <row r="51" spans="1:3" x14ac:dyDescent="0.25">
      <c r="A51">
        <f t="shared" ca="1" si="0"/>
        <v>-0.48303527237054655</v>
      </c>
      <c r="B51">
        <f t="shared" ca="1" si="1"/>
        <v>0.38905546449106887</v>
      </c>
      <c r="C51">
        <f t="shared" ca="1" si="2"/>
        <v>-1.1722112599613501</v>
      </c>
    </row>
    <row r="52" spans="1:3" x14ac:dyDescent="0.25">
      <c r="A52">
        <f t="shared" ca="1" si="0"/>
        <v>-0.74475858400483685</v>
      </c>
      <c r="B52">
        <f t="shared" ca="1" si="1"/>
        <v>-0.94473170812637741</v>
      </c>
      <c r="C52">
        <f t="shared" ca="1" si="2"/>
        <v>-1.2972459710124022</v>
      </c>
    </row>
    <row r="53" spans="1:3" x14ac:dyDescent="0.25">
      <c r="A53">
        <f t="shared" ca="1" si="0"/>
        <v>0.62615770457063979</v>
      </c>
      <c r="B53">
        <f t="shared" ca="1" si="1"/>
        <v>-0.80732409465480415</v>
      </c>
      <c r="C53">
        <f t="shared" ca="1" si="2"/>
        <v>-0.10510155020555445</v>
      </c>
    </row>
    <row r="54" spans="1:3" x14ac:dyDescent="0.25">
      <c r="A54">
        <f t="shared" ca="1" si="0"/>
        <v>0.86075750515224314</v>
      </c>
      <c r="B54">
        <f t="shared" ca="1" si="1"/>
        <v>0.31822607881253417</v>
      </c>
      <c r="C54">
        <f t="shared" ca="1" si="2"/>
        <v>1.2675258416021213</v>
      </c>
    </row>
    <row r="55" spans="1:3" x14ac:dyDescent="0.25">
      <c r="A55">
        <f t="shared" ca="1" si="0"/>
        <v>0.85383856902983368</v>
      </c>
      <c r="B55">
        <f t="shared" ca="1" si="1"/>
        <v>2.9793162184518267</v>
      </c>
      <c r="C55">
        <f t="shared" ca="1" si="2"/>
        <v>0.21997454696465457</v>
      </c>
    </row>
    <row r="56" spans="1:3" x14ac:dyDescent="0.25">
      <c r="A56">
        <f t="shared" ca="1" si="0"/>
        <v>-1.9321118082637957E-2</v>
      </c>
      <c r="B56">
        <f t="shared" ca="1" si="1"/>
        <v>-1.0587348541827155</v>
      </c>
      <c r="C56">
        <f t="shared" ca="1" si="2"/>
        <v>0.68069788804186204</v>
      </c>
    </row>
    <row r="57" spans="1:3" x14ac:dyDescent="0.25">
      <c r="A57">
        <f t="shared" ca="1" si="0"/>
        <v>-0.68494671355367454</v>
      </c>
      <c r="B57">
        <f t="shared" ca="1" si="1"/>
        <v>0.39824663014057132</v>
      </c>
      <c r="C57">
        <f t="shared" ca="1" si="2"/>
        <v>-0.62119293057541791</v>
      </c>
    </row>
    <row r="58" spans="1:3" x14ac:dyDescent="0.25">
      <c r="A58">
        <f t="shared" ca="1" si="0"/>
        <v>0.80367974982989221</v>
      </c>
      <c r="B58">
        <f t="shared" ca="1" si="1"/>
        <v>1.1018044231045068</v>
      </c>
      <c r="C58">
        <f t="shared" ca="1" si="2"/>
        <v>0.51530634815547582</v>
      </c>
    </row>
    <row r="59" spans="1:3" x14ac:dyDescent="0.25">
      <c r="A59">
        <f t="shared" ca="1" si="0"/>
        <v>-0.49969023737223656</v>
      </c>
      <c r="B59">
        <f t="shared" ca="1" si="1"/>
        <v>-0.77355559506022065</v>
      </c>
      <c r="C59">
        <f t="shared" ca="1" si="2"/>
        <v>-0.67986676955917091</v>
      </c>
    </row>
    <row r="60" spans="1:3" x14ac:dyDescent="0.25">
      <c r="A60">
        <f t="shared" ca="1" si="0"/>
        <v>0.43463297308924348</v>
      </c>
      <c r="B60">
        <f t="shared" ca="1" si="1"/>
        <v>0.35403091117972735</v>
      </c>
      <c r="C60">
        <f t="shared" ca="1" si="2"/>
        <v>3.1174657943401074E-2</v>
      </c>
    </row>
    <row r="61" spans="1:3" x14ac:dyDescent="0.25">
      <c r="A61">
        <f t="shared" ca="1" si="0"/>
        <v>0.69083109950107779</v>
      </c>
      <c r="B61">
        <f t="shared" ca="1" si="1"/>
        <v>0.41671946019281675</v>
      </c>
      <c r="C61">
        <f t="shared" ca="1" si="2"/>
        <v>0.18831205124964379</v>
      </c>
    </row>
    <row r="62" spans="1:3" x14ac:dyDescent="0.25">
      <c r="A62">
        <f t="shared" ca="1" si="0"/>
        <v>-1.0472124578121902</v>
      </c>
      <c r="B62">
        <f t="shared" ca="1" si="1"/>
        <v>0.19546662368178236</v>
      </c>
      <c r="C62">
        <f t="shared" ca="1" si="2"/>
        <v>-2.1594720084320973</v>
      </c>
    </row>
    <row r="63" spans="1:3" x14ac:dyDescent="0.25">
      <c r="A63">
        <f t="shared" ca="1" si="0"/>
        <v>2.7285322279389161</v>
      </c>
      <c r="B63">
        <f t="shared" ca="1" si="1"/>
        <v>2.2935712671162856</v>
      </c>
      <c r="C63">
        <f t="shared" ca="1" si="2"/>
        <v>1.6753298387926079</v>
      </c>
    </row>
    <row r="64" spans="1:3" x14ac:dyDescent="0.25">
      <c r="A64">
        <f t="shared" ca="1" si="0"/>
        <v>-1.0287900455855301</v>
      </c>
      <c r="B64">
        <f t="shared" ca="1" si="1"/>
        <v>-0.14200192677271772</v>
      </c>
      <c r="C64">
        <f t="shared" ca="1" si="2"/>
        <v>-0.40488090445415309</v>
      </c>
    </row>
    <row r="65" spans="1:3" x14ac:dyDescent="0.25">
      <c r="A65">
        <f t="shared" ca="1" si="0"/>
        <v>-0.7568611122408031</v>
      </c>
      <c r="B65">
        <f t="shared" ca="1" si="1"/>
        <v>0.40124737926055853</v>
      </c>
      <c r="C65">
        <f t="shared" ca="1" si="2"/>
        <v>-1.169275131980994</v>
      </c>
    </row>
    <row r="66" spans="1:3" x14ac:dyDescent="0.25">
      <c r="A66">
        <f t="shared" ca="1" si="0"/>
        <v>0.94590615463965499</v>
      </c>
      <c r="B66">
        <f t="shared" ca="1" si="1"/>
        <v>0.52131743329911273</v>
      </c>
      <c r="C66">
        <f t="shared" ca="1" si="2"/>
        <v>1.4303778442710597</v>
      </c>
    </row>
    <row r="67" spans="1:3" x14ac:dyDescent="0.25">
      <c r="A67">
        <f t="shared" ca="1" si="0"/>
        <v>0.5298436558018591</v>
      </c>
      <c r="B67">
        <f t="shared" ca="1" si="1"/>
        <v>-0.1501518440721003</v>
      </c>
      <c r="C67">
        <f t="shared" ca="1" si="2"/>
        <v>1.7334404459467556</v>
      </c>
    </row>
    <row r="68" spans="1:3" x14ac:dyDescent="0.25">
      <c r="A68">
        <f t="shared" ca="1" si="0"/>
        <v>-1.9372243755637484</v>
      </c>
      <c r="B68">
        <f t="shared" ca="1" si="1"/>
        <v>-1.7786653181040757</v>
      </c>
      <c r="C68">
        <f t="shared" ca="1" si="2"/>
        <v>-2.1801395463198059</v>
      </c>
    </row>
    <row r="69" spans="1:3" x14ac:dyDescent="0.25">
      <c r="A69">
        <f t="shared" ca="1" si="0"/>
        <v>-0.14569997607868329</v>
      </c>
      <c r="B69">
        <f t="shared" ca="1" si="1"/>
        <v>-0.30785830825000404</v>
      </c>
      <c r="C69">
        <f t="shared" ca="1" si="2"/>
        <v>-1.1775326942372826</v>
      </c>
    </row>
    <row r="70" spans="1:3" x14ac:dyDescent="0.25">
      <c r="A70">
        <f t="shared" ref="A70:A133" ca="1" si="3">NORMSINV(RAND())</f>
        <v>-1.304193276977933</v>
      </c>
      <c r="B70">
        <f t="shared" ref="B70:B133" ca="1" si="4">A70*SQRT($B$2)+SQRT(1-$B$2)*NORMSINV(RAND())</f>
        <v>-2.9322722152257952</v>
      </c>
      <c r="C70">
        <f t="shared" ref="C70:C133" ca="1" si="5">A70*SQRT($B$2)+SQRT(1-$B$2)*NORMSINV(RAND())</f>
        <v>-1.7711250690522693</v>
      </c>
    </row>
    <row r="71" spans="1:3" x14ac:dyDescent="0.25">
      <c r="A71">
        <f t="shared" ca="1" si="3"/>
        <v>-0.88596599507166096</v>
      </c>
      <c r="B71">
        <f t="shared" ca="1" si="4"/>
        <v>-0.31024818119685232</v>
      </c>
      <c r="C71">
        <f t="shared" ca="1" si="5"/>
        <v>1.0064594190705463</v>
      </c>
    </row>
    <row r="72" spans="1:3" x14ac:dyDescent="0.25">
      <c r="A72">
        <f t="shared" ca="1" si="3"/>
        <v>1.994258532726594</v>
      </c>
      <c r="B72">
        <f t="shared" ca="1" si="4"/>
        <v>2.0656664228859718</v>
      </c>
      <c r="C72">
        <f t="shared" ca="1" si="5"/>
        <v>1.4427636040681699</v>
      </c>
    </row>
    <row r="73" spans="1:3" x14ac:dyDescent="0.25">
      <c r="A73">
        <f t="shared" ca="1" si="3"/>
        <v>-2.3669111845478445</v>
      </c>
      <c r="B73">
        <f t="shared" ca="1" si="4"/>
        <v>-2.4821805155940906</v>
      </c>
      <c r="C73">
        <f t="shared" ca="1" si="5"/>
        <v>-1.5514012314914234</v>
      </c>
    </row>
    <row r="74" spans="1:3" x14ac:dyDescent="0.25">
      <c r="A74">
        <f t="shared" ca="1" si="3"/>
        <v>0.73388013417117415</v>
      </c>
      <c r="B74">
        <f t="shared" ca="1" si="4"/>
        <v>0.78953477332974786</v>
      </c>
      <c r="C74">
        <f t="shared" ca="1" si="5"/>
        <v>0.31494180729871613</v>
      </c>
    </row>
    <row r="75" spans="1:3" x14ac:dyDescent="0.25">
      <c r="A75">
        <f t="shared" ca="1" si="3"/>
        <v>1.9529387505861378</v>
      </c>
      <c r="B75">
        <f t="shared" ca="1" si="4"/>
        <v>2.0053170900760087</v>
      </c>
      <c r="C75">
        <f t="shared" ca="1" si="5"/>
        <v>1.7435704550704454</v>
      </c>
    </row>
    <row r="76" spans="1:3" x14ac:dyDescent="0.25">
      <c r="A76">
        <f t="shared" ca="1" si="3"/>
        <v>-2.1891805192113956</v>
      </c>
      <c r="B76">
        <f t="shared" ca="1" si="4"/>
        <v>-1.1503418406120542</v>
      </c>
      <c r="C76">
        <f t="shared" ca="1" si="5"/>
        <v>-1.6876286984990581</v>
      </c>
    </row>
    <row r="77" spans="1:3" x14ac:dyDescent="0.25">
      <c r="A77">
        <f t="shared" ca="1" si="3"/>
        <v>-1.8920274040737275</v>
      </c>
      <c r="B77">
        <f t="shared" ca="1" si="4"/>
        <v>-1.0559660320398225</v>
      </c>
      <c r="C77">
        <f t="shared" ca="1" si="5"/>
        <v>-0.7713023534903678</v>
      </c>
    </row>
    <row r="78" spans="1:3" x14ac:dyDescent="0.25">
      <c r="A78">
        <f t="shared" ca="1" si="3"/>
        <v>-0.33404730732788968</v>
      </c>
      <c r="B78">
        <f t="shared" ca="1" si="4"/>
        <v>-0.40244971142986119</v>
      </c>
      <c r="C78">
        <f t="shared" ca="1" si="5"/>
        <v>-0.71528457007933399</v>
      </c>
    </row>
    <row r="79" spans="1:3" x14ac:dyDescent="0.25">
      <c r="A79">
        <f t="shared" ca="1" si="3"/>
        <v>-0.61319539383659583</v>
      </c>
      <c r="B79">
        <f t="shared" ca="1" si="4"/>
        <v>-0.20799329300027625</v>
      </c>
      <c r="C79">
        <f t="shared" ca="1" si="5"/>
        <v>-2.2950645218543198</v>
      </c>
    </row>
    <row r="80" spans="1:3" x14ac:dyDescent="0.25">
      <c r="A80">
        <f t="shared" ca="1" si="3"/>
        <v>-2.0627054889488994</v>
      </c>
      <c r="B80">
        <f t="shared" ca="1" si="4"/>
        <v>-2.0444556300609369</v>
      </c>
      <c r="C80">
        <f t="shared" ca="1" si="5"/>
        <v>-1.3054408027877689</v>
      </c>
    </row>
    <row r="81" spans="1:3" x14ac:dyDescent="0.25">
      <c r="A81">
        <f t="shared" ca="1" si="3"/>
        <v>0.87754549241755953</v>
      </c>
      <c r="B81">
        <f t="shared" ca="1" si="4"/>
        <v>1.2694358057720718</v>
      </c>
      <c r="C81">
        <f t="shared" ca="1" si="5"/>
        <v>0.47386253789027144</v>
      </c>
    </row>
    <row r="82" spans="1:3" x14ac:dyDescent="0.25">
      <c r="A82">
        <f t="shared" ca="1" si="3"/>
        <v>1.9021282600698903</v>
      </c>
      <c r="B82">
        <f t="shared" ca="1" si="4"/>
        <v>0.61397047698503726</v>
      </c>
      <c r="C82">
        <f t="shared" ca="1" si="5"/>
        <v>2.3395826742141672</v>
      </c>
    </row>
    <row r="83" spans="1:3" x14ac:dyDescent="0.25">
      <c r="A83">
        <f t="shared" ca="1" si="3"/>
        <v>-3.5993186733931072E-2</v>
      </c>
      <c r="B83">
        <f t="shared" ca="1" si="4"/>
        <v>0.21279088263804713</v>
      </c>
      <c r="C83">
        <f t="shared" ca="1" si="5"/>
        <v>0.17565379223715838</v>
      </c>
    </row>
    <row r="84" spans="1:3" x14ac:dyDescent="0.25">
      <c r="A84">
        <f t="shared" ca="1" si="3"/>
        <v>0.65861377096542562</v>
      </c>
      <c r="B84">
        <f t="shared" ca="1" si="4"/>
        <v>-1.3240155191192982E-2</v>
      </c>
      <c r="C84">
        <f t="shared" ca="1" si="5"/>
        <v>1.4955787080085017</v>
      </c>
    </row>
    <row r="85" spans="1:3" x14ac:dyDescent="0.25">
      <c r="A85">
        <f t="shared" ca="1" si="3"/>
        <v>-0.43327269934610779</v>
      </c>
      <c r="B85">
        <f t="shared" ca="1" si="4"/>
        <v>-0.10965013841976817</v>
      </c>
      <c r="C85">
        <f t="shared" ca="1" si="5"/>
        <v>-0.23640691824197474</v>
      </c>
    </row>
    <row r="86" spans="1:3" x14ac:dyDescent="0.25">
      <c r="A86">
        <f t="shared" ca="1" si="3"/>
        <v>0.87712701206858357</v>
      </c>
      <c r="B86">
        <f t="shared" ca="1" si="4"/>
        <v>1.3422110982930118</v>
      </c>
      <c r="C86">
        <f t="shared" ca="1" si="5"/>
        <v>1.1772656661682368E-2</v>
      </c>
    </row>
    <row r="87" spans="1:3" x14ac:dyDescent="0.25">
      <c r="A87">
        <f t="shared" ca="1" si="3"/>
        <v>0.40509540476540973</v>
      </c>
      <c r="B87">
        <f t="shared" ca="1" si="4"/>
        <v>0.37905919769775531</v>
      </c>
      <c r="C87">
        <f t="shared" ca="1" si="5"/>
        <v>0.84491150873778365</v>
      </c>
    </row>
    <row r="88" spans="1:3" x14ac:dyDescent="0.25">
      <c r="A88">
        <f t="shared" ca="1" si="3"/>
        <v>0.61038014800053941</v>
      </c>
      <c r="B88">
        <f t="shared" ca="1" si="4"/>
        <v>1.1748530273787161</v>
      </c>
      <c r="C88">
        <f t="shared" ca="1" si="5"/>
        <v>1.0295622478288959</v>
      </c>
    </row>
    <row r="89" spans="1:3" x14ac:dyDescent="0.25">
      <c r="A89">
        <f t="shared" ca="1" si="3"/>
        <v>-1.9839691524120502</v>
      </c>
      <c r="B89">
        <f t="shared" ca="1" si="4"/>
        <v>-1.9259170297519819</v>
      </c>
      <c r="C89">
        <f t="shared" ca="1" si="5"/>
        <v>-0.51711702898598133</v>
      </c>
    </row>
    <row r="90" spans="1:3" x14ac:dyDescent="0.25">
      <c r="A90">
        <f t="shared" ca="1" si="3"/>
        <v>-1.1244184268110273</v>
      </c>
      <c r="B90">
        <f t="shared" ca="1" si="4"/>
        <v>-0.61854806474812385</v>
      </c>
      <c r="C90">
        <f t="shared" ca="1" si="5"/>
        <v>-1.0777294545506506</v>
      </c>
    </row>
    <row r="91" spans="1:3" x14ac:dyDescent="0.25">
      <c r="A91">
        <f t="shared" ca="1" si="3"/>
        <v>-1.8230080818545482</v>
      </c>
      <c r="B91">
        <f t="shared" ca="1" si="4"/>
        <v>-1.5962626221234364</v>
      </c>
      <c r="C91">
        <f t="shared" ca="1" si="5"/>
        <v>-0.83350346283616072</v>
      </c>
    </row>
    <row r="92" spans="1:3" x14ac:dyDescent="0.25">
      <c r="A92">
        <f t="shared" ca="1" si="3"/>
        <v>1.1528565036056491</v>
      </c>
      <c r="B92">
        <f t="shared" ca="1" si="4"/>
        <v>1.6972029075973336</v>
      </c>
      <c r="C92">
        <f t="shared" ca="1" si="5"/>
        <v>1.363052573835249</v>
      </c>
    </row>
    <row r="93" spans="1:3" x14ac:dyDescent="0.25">
      <c r="A93">
        <f t="shared" ca="1" si="3"/>
        <v>-0.92254322470390915</v>
      </c>
      <c r="B93">
        <f t="shared" ca="1" si="4"/>
        <v>-1.0960346815849979</v>
      </c>
      <c r="C93">
        <f t="shared" ca="1" si="5"/>
        <v>-0.48037128085855774</v>
      </c>
    </row>
    <row r="94" spans="1:3" x14ac:dyDescent="0.25">
      <c r="A94">
        <f t="shared" ca="1" si="3"/>
        <v>-1.512104464760256</v>
      </c>
      <c r="B94">
        <f t="shared" ca="1" si="4"/>
        <v>-2.1738563309981456</v>
      </c>
      <c r="C94">
        <f t="shared" ca="1" si="5"/>
        <v>-0.35401527063950822</v>
      </c>
    </row>
    <row r="95" spans="1:3" x14ac:dyDescent="0.25">
      <c r="A95">
        <f t="shared" ca="1" si="3"/>
        <v>1.680968005613112</v>
      </c>
      <c r="B95">
        <f t="shared" ca="1" si="4"/>
        <v>0.33261817744316136</v>
      </c>
      <c r="C95">
        <f t="shared" ca="1" si="5"/>
        <v>1.6619225485880538</v>
      </c>
    </row>
    <row r="96" spans="1:3" x14ac:dyDescent="0.25">
      <c r="A96">
        <f t="shared" ca="1" si="3"/>
        <v>-0.61146909863860222</v>
      </c>
      <c r="B96">
        <f t="shared" ca="1" si="4"/>
        <v>-0.56462974992956583</v>
      </c>
      <c r="C96">
        <f t="shared" ca="1" si="5"/>
        <v>0.71309532820488819</v>
      </c>
    </row>
    <row r="97" spans="1:3" x14ac:dyDescent="0.25">
      <c r="A97">
        <f t="shared" ca="1" si="3"/>
        <v>0.8959376026829623</v>
      </c>
      <c r="B97">
        <f t="shared" ca="1" si="4"/>
        <v>0.35978771848085184</v>
      </c>
      <c r="C97">
        <f t="shared" ca="1" si="5"/>
        <v>0.42296103144257396</v>
      </c>
    </row>
    <row r="98" spans="1:3" x14ac:dyDescent="0.25">
      <c r="A98">
        <f t="shared" ca="1" si="3"/>
        <v>0.54287760370650529</v>
      </c>
      <c r="B98">
        <f t="shared" ca="1" si="4"/>
        <v>-0.36288598394422072</v>
      </c>
      <c r="C98">
        <f t="shared" ca="1" si="5"/>
        <v>4.0837431856273199E-2</v>
      </c>
    </row>
    <row r="99" spans="1:3" x14ac:dyDescent="0.25">
      <c r="A99">
        <f t="shared" ca="1" si="3"/>
        <v>1.5967002354166355</v>
      </c>
      <c r="B99">
        <f t="shared" ca="1" si="4"/>
        <v>7.4116851841617537E-2</v>
      </c>
      <c r="C99">
        <f t="shared" ca="1" si="5"/>
        <v>0.51489133034676249</v>
      </c>
    </row>
    <row r="100" spans="1:3" x14ac:dyDescent="0.25">
      <c r="A100">
        <f t="shared" ca="1" si="3"/>
        <v>0.12128846392781546</v>
      </c>
      <c r="B100">
        <f t="shared" ca="1" si="4"/>
        <v>-6.1092781210515701E-2</v>
      </c>
      <c r="C100">
        <f t="shared" ca="1" si="5"/>
        <v>-1.4626321719251205</v>
      </c>
    </row>
    <row r="101" spans="1:3" x14ac:dyDescent="0.25">
      <c r="A101">
        <f t="shared" ca="1" si="3"/>
        <v>-2.8335280821783577</v>
      </c>
      <c r="B101">
        <f t="shared" ca="1" si="4"/>
        <v>-3.1971303116136811</v>
      </c>
      <c r="C101">
        <f t="shared" ca="1" si="5"/>
        <v>-1.8308358897732568</v>
      </c>
    </row>
    <row r="102" spans="1:3" x14ac:dyDescent="0.25">
      <c r="A102">
        <f t="shared" ca="1" si="3"/>
        <v>6.6475140917171507E-2</v>
      </c>
      <c r="B102">
        <f t="shared" ca="1" si="4"/>
        <v>-3.7086295736242322E-2</v>
      </c>
      <c r="C102">
        <f t="shared" ca="1" si="5"/>
        <v>-0.81653748932529613</v>
      </c>
    </row>
    <row r="103" spans="1:3" x14ac:dyDescent="0.25">
      <c r="A103">
        <f t="shared" ca="1" si="3"/>
        <v>1.5688206273041045</v>
      </c>
      <c r="B103">
        <f t="shared" ca="1" si="4"/>
        <v>1.6405961326762659</v>
      </c>
      <c r="C103">
        <f t="shared" ca="1" si="5"/>
        <v>0.57242413837214368</v>
      </c>
    </row>
    <row r="104" spans="1:3" x14ac:dyDescent="0.25">
      <c r="A104">
        <f t="shared" ca="1" si="3"/>
        <v>-1.7820212006375025</v>
      </c>
      <c r="B104">
        <f t="shared" ca="1" si="4"/>
        <v>-1.9162970010116449</v>
      </c>
      <c r="C104">
        <f t="shared" ca="1" si="5"/>
        <v>0.25558008661228415</v>
      </c>
    </row>
    <row r="105" spans="1:3" x14ac:dyDescent="0.25">
      <c r="A105">
        <f t="shared" ca="1" si="3"/>
        <v>1.4858904728508819</v>
      </c>
      <c r="B105">
        <f t="shared" ca="1" si="4"/>
        <v>1.3466881502371959</v>
      </c>
      <c r="C105">
        <f t="shared" ca="1" si="5"/>
        <v>1.0092712542176738</v>
      </c>
    </row>
    <row r="106" spans="1:3" x14ac:dyDescent="0.25">
      <c r="A106">
        <f t="shared" ca="1" si="3"/>
        <v>-1.3736179981142203</v>
      </c>
      <c r="B106">
        <f t="shared" ca="1" si="4"/>
        <v>-1.1560426084938078</v>
      </c>
      <c r="C106">
        <f t="shared" ca="1" si="5"/>
        <v>-1.4924686643994702</v>
      </c>
    </row>
    <row r="107" spans="1:3" x14ac:dyDescent="0.25">
      <c r="A107">
        <f t="shared" ca="1" si="3"/>
        <v>0.29960903656591065</v>
      </c>
      <c r="B107">
        <f t="shared" ca="1" si="4"/>
        <v>6.3609586584711025E-2</v>
      </c>
      <c r="C107">
        <f t="shared" ca="1" si="5"/>
        <v>0.37645602433239039</v>
      </c>
    </row>
    <row r="108" spans="1:3" x14ac:dyDescent="0.25">
      <c r="A108">
        <f t="shared" ca="1" si="3"/>
        <v>0.74370078002719331</v>
      </c>
      <c r="B108">
        <f t="shared" ca="1" si="4"/>
        <v>0.36104190188178675</v>
      </c>
      <c r="C108">
        <f t="shared" ca="1" si="5"/>
        <v>5.3380252049672894E-3</v>
      </c>
    </row>
    <row r="109" spans="1:3" x14ac:dyDescent="0.25">
      <c r="A109">
        <f t="shared" ca="1" si="3"/>
        <v>0.34125928167009206</v>
      </c>
      <c r="B109">
        <f t="shared" ca="1" si="4"/>
        <v>-0.26209411071070721</v>
      </c>
      <c r="C109">
        <f t="shared" ca="1" si="5"/>
        <v>-0.54581605733250549</v>
      </c>
    </row>
    <row r="110" spans="1:3" x14ac:dyDescent="0.25">
      <c r="A110">
        <f t="shared" ca="1" si="3"/>
        <v>1.2042465972368246</v>
      </c>
      <c r="B110">
        <f t="shared" ca="1" si="4"/>
        <v>1.4459498851642456</v>
      </c>
      <c r="C110">
        <f t="shared" ca="1" si="5"/>
        <v>2.0951865687453948</v>
      </c>
    </row>
    <row r="111" spans="1:3" x14ac:dyDescent="0.25">
      <c r="A111">
        <f t="shared" ca="1" si="3"/>
        <v>0.58805208801113362</v>
      </c>
      <c r="B111">
        <f t="shared" ca="1" si="4"/>
        <v>-0.13076307012461891</v>
      </c>
      <c r="C111">
        <f t="shared" ca="1" si="5"/>
        <v>-0.16609986424962214</v>
      </c>
    </row>
    <row r="112" spans="1:3" x14ac:dyDescent="0.25">
      <c r="A112">
        <f t="shared" ca="1" si="3"/>
        <v>0.8242891722383211</v>
      </c>
      <c r="B112">
        <f t="shared" ca="1" si="4"/>
        <v>8.7032455231051853E-2</v>
      </c>
      <c r="C112">
        <f t="shared" ca="1" si="5"/>
        <v>1.323881207795119E-2</v>
      </c>
    </row>
    <row r="113" spans="1:3" x14ac:dyDescent="0.25">
      <c r="A113">
        <f t="shared" ca="1" si="3"/>
        <v>0.57231698634739936</v>
      </c>
      <c r="B113">
        <f t="shared" ca="1" si="4"/>
        <v>0.54835247745062121</v>
      </c>
      <c r="C113">
        <f t="shared" ca="1" si="5"/>
        <v>0.83829075909872741</v>
      </c>
    </row>
    <row r="114" spans="1:3" x14ac:dyDescent="0.25">
      <c r="A114">
        <f t="shared" ca="1" si="3"/>
        <v>0.55030409924919932</v>
      </c>
      <c r="B114">
        <f t="shared" ca="1" si="4"/>
        <v>1.0314600531135731</v>
      </c>
      <c r="C114">
        <f t="shared" ca="1" si="5"/>
        <v>0.35135334614377928</v>
      </c>
    </row>
    <row r="115" spans="1:3" x14ac:dyDescent="0.25">
      <c r="A115">
        <f t="shared" ca="1" si="3"/>
        <v>-0.39723364807367417</v>
      </c>
      <c r="B115">
        <f t="shared" ca="1" si="4"/>
        <v>0.34873023464782649</v>
      </c>
      <c r="C115">
        <f t="shared" ca="1" si="5"/>
        <v>-0.41703198090851701</v>
      </c>
    </row>
    <row r="116" spans="1:3" x14ac:dyDescent="0.25">
      <c r="A116">
        <f t="shared" ca="1" si="3"/>
        <v>0.23871326662387177</v>
      </c>
      <c r="B116">
        <f t="shared" ca="1" si="4"/>
        <v>4.4223960585802358E-2</v>
      </c>
      <c r="C116">
        <f t="shared" ca="1" si="5"/>
        <v>1.0499444811399941</v>
      </c>
    </row>
    <row r="117" spans="1:3" x14ac:dyDescent="0.25">
      <c r="A117">
        <f t="shared" ca="1" si="3"/>
        <v>0.11691820710137224</v>
      </c>
      <c r="B117">
        <f t="shared" ca="1" si="4"/>
        <v>0.67622379274442745</v>
      </c>
      <c r="C117">
        <f t="shared" ca="1" si="5"/>
        <v>-0.54609534586088326</v>
      </c>
    </row>
    <row r="118" spans="1:3" x14ac:dyDescent="0.25">
      <c r="A118">
        <f t="shared" ca="1" si="3"/>
        <v>0.48543704549044459</v>
      </c>
      <c r="B118">
        <f t="shared" ca="1" si="4"/>
        <v>7.64768091771173E-2</v>
      </c>
      <c r="C118">
        <f t="shared" ca="1" si="5"/>
        <v>0.66613829116424972</v>
      </c>
    </row>
    <row r="119" spans="1:3" x14ac:dyDescent="0.25">
      <c r="A119">
        <f t="shared" ca="1" si="3"/>
        <v>2.6177950180549998</v>
      </c>
      <c r="B119">
        <f t="shared" ca="1" si="4"/>
        <v>1.6596398501613434</v>
      </c>
      <c r="C119">
        <f t="shared" ca="1" si="5"/>
        <v>2.093983482671891</v>
      </c>
    </row>
    <row r="120" spans="1:3" x14ac:dyDescent="0.25">
      <c r="A120">
        <f t="shared" ca="1" si="3"/>
        <v>1.1341537753026512</v>
      </c>
      <c r="B120">
        <f t="shared" ca="1" si="4"/>
        <v>1.069261652457461</v>
      </c>
      <c r="C120">
        <f t="shared" ca="1" si="5"/>
        <v>1.249105252348893</v>
      </c>
    </row>
    <row r="121" spans="1:3" x14ac:dyDescent="0.25">
      <c r="A121">
        <f t="shared" ca="1" si="3"/>
        <v>1.8653380944952238</v>
      </c>
      <c r="B121">
        <f t="shared" ca="1" si="4"/>
        <v>0.10238092320300884</v>
      </c>
      <c r="C121">
        <f t="shared" ca="1" si="5"/>
        <v>1.1022183951835045</v>
      </c>
    </row>
    <row r="122" spans="1:3" x14ac:dyDescent="0.25">
      <c r="A122">
        <f t="shared" ca="1" si="3"/>
        <v>-0.56720716789347214</v>
      </c>
      <c r="B122">
        <f t="shared" ca="1" si="4"/>
        <v>-1.2764593570102216</v>
      </c>
      <c r="C122">
        <f t="shared" ca="1" si="5"/>
        <v>-0.6422956952465817</v>
      </c>
    </row>
    <row r="123" spans="1:3" x14ac:dyDescent="0.25">
      <c r="A123">
        <f t="shared" ca="1" si="3"/>
        <v>0.56699947996889399</v>
      </c>
      <c r="B123">
        <f t="shared" ca="1" si="4"/>
        <v>-0.15132801056242606</v>
      </c>
      <c r="C123">
        <f t="shared" ca="1" si="5"/>
        <v>-0.49869437239928505</v>
      </c>
    </row>
    <row r="124" spans="1:3" x14ac:dyDescent="0.25">
      <c r="A124">
        <f t="shared" ca="1" si="3"/>
        <v>-2.0662632358982065</v>
      </c>
      <c r="B124">
        <f t="shared" ca="1" si="4"/>
        <v>-1.7305227784280139</v>
      </c>
      <c r="C124">
        <f t="shared" ca="1" si="5"/>
        <v>-1.8010259876026236</v>
      </c>
    </row>
    <row r="125" spans="1:3" x14ac:dyDescent="0.25">
      <c r="A125">
        <f t="shared" ca="1" si="3"/>
        <v>2.119202541403471</v>
      </c>
      <c r="B125">
        <f t="shared" ca="1" si="4"/>
        <v>1.4261588477825911</v>
      </c>
      <c r="C125">
        <f t="shared" ca="1" si="5"/>
        <v>0.36150101344355301</v>
      </c>
    </row>
    <row r="126" spans="1:3" x14ac:dyDescent="0.25">
      <c r="A126">
        <f t="shared" ca="1" si="3"/>
        <v>0.21175707847640188</v>
      </c>
      <c r="B126">
        <f t="shared" ca="1" si="4"/>
        <v>-2.1580299578063983E-2</v>
      </c>
      <c r="C126">
        <f t="shared" ca="1" si="5"/>
        <v>0.68985237564838042</v>
      </c>
    </row>
    <row r="127" spans="1:3" x14ac:dyDescent="0.25">
      <c r="A127">
        <f t="shared" ca="1" si="3"/>
        <v>0.8431011085802379</v>
      </c>
      <c r="B127">
        <f t="shared" ca="1" si="4"/>
        <v>0.73829684408064544</v>
      </c>
      <c r="C127">
        <f t="shared" ca="1" si="5"/>
        <v>1.047592606692084</v>
      </c>
    </row>
    <row r="128" spans="1:3" x14ac:dyDescent="0.25">
      <c r="A128">
        <f t="shared" ca="1" si="3"/>
        <v>0.55657432890400826</v>
      </c>
      <c r="B128">
        <f t="shared" ca="1" si="4"/>
        <v>1.1760762368427677</v>
      </c>
      <c r="C128">
        <f t="shared" ca="1" si="5"/>
        <v>-0.39210649684167692</v>
      </c>
    </row>
    <row r="129" spans="1:3" x14ac:dyDescent="0.25">
      <c r="A129">
        <f t="shared" ca="1" si="3"/>
        <v>-1.3306834940807106</v>
      </c>
      <c r="B129">
        <f t="shared" ca="1" si="4"/>
        <v>-1.1873255197479091</v>
      </c>
      <c r="C129">
        <f t="shared" ca="1" si="5"/>
        <v>-0.55454306118614483</v>
      </c>
    </row>
    <row r="130" spans="1:3" x14ac:dyDescent="0.25">
      <c r="A130">
        <f t="shared" ca="1" si="3"/>
        <v>-0.46628461807988986</v>
      </c>
      <c r="B130">
        <f t="shared" ca="1" si="4"/>
        <v>-0.3655815203973023</v>
      </c>
      <c r="C130">
        <f t="shared" ca="1" si="5"/>
        <v>-0.98244762659610774</v>
      </c>
    </row>
    <row r="131" spans="1:3" x14ac:dyDescent="0.25">
      <c r="A131">
        <f t="shared" ca="1" si="3"/>
        <v>0.33634744722335269</v>
      </c>
      <c r="B131">
        <f t="shared" ca="1" si="4"/>
        <v>-0.15143569825597264</v>
      </c>
      <c r="C131">
        <f t="shared" ca="1" si="5"/>
        <v>-0.17285410902462184</v>
      </c>
    </row>
    <row r="132" spans="1:3" x14ac:dyDescent="0.25">
      <c r="A132">
        <f t="shared" ca="1" si="3"/>
        <v>-1.6253727582937694</v>
      </c>
      <c r="B132">
        <f t="shared" ca="1" si="4"/>
        <v>0.21836378050345817</v>
      </c>
      <c r="C132">
        <f t="shared" ca="1" si="5"/>
        <v>-1.6388120184983546</v>
      </c>
    </row>
    <row r="133" spans="1:3" x14ac:dyDescent="0.25">
      <c r="A133">
        <f t="shared" ca="1" si="3"/>
        <v>-0.61601138092038132</v>
      </c>
      <c r="B133">
        <f t="shared" ca="1" si="4"/>
        <v>-0.60848421394941654</v>
      </c>
      <c r="C133">
        <f t="shared" ca="1" si="5"/>
        <v>-1.2253921058772281</v>
      </c>
    </row>
    <row r="134" spans="1:3" x14ac:dyDescent="0.25">
      <c r="A134">
        <f t="shared" ref="A134:A197" ca="1" si="6">NORMSINV(RAND())</f>
        <v>0.20009853027927099</v>
      </c>
      <c r="B134">
        <f t="shared" ref="B134:B197" ca="1" si="7">A134*SQRT($B$2)+SQRT(1-$B$2)*NORMSINV(RAND())</f>
        <v>0.67018755427894627</v>
      </c>
      <c r="C134">
        <f t="shared" ref="C134:C197" ca="1" si="8">A134*SQRT($B$2)+SQRT(1-$B$2)*NORMSINV(RAND())</f>
        <v>-0.35248121687246925</v>
      </c>
    </row>
    <row r="135" spans="1:3" x14ac:dyDescent="0.25">
      <c r="A135">
        <f t="shared" ca="1" si="6"/>
        <v>1.0496320227391618</v>
      </c>
      <c r="B135">
        <f t="shared" ca="1" si="7"/>
        <v>1.7294133145859805</v>
      </c>
      <c r="C135">
        <f t="shared" ca="1" si="8"/>
        <v>1.8970923895656546</v>
      </c>
    </row>
    <row r="136" spans="1:3" x14ac:dyDescent="0.25">
      <c r="A136">
        <f t="shared" ca="1" si="6"/>
        <v>-0.71616376693274941</v>
      </c>
      <c r="B136">
        <f t="shared" ca="1" si="7"/>
        <v>0.17207092557219439</v>
      </c>
      <c r="C136">
        <f t="shared" ca="1" si="8"/>
        <v>-0.17915941340686586</v>
      </c>
    </row>
    <row r="137" spans="1:3" x14ac:dyDescent="0.25">
      <c r="A137">
        <f t="shared" ca="1" si="6"/>
        <v>-0.97191888984444141</v>
      </c>
      <c r="B137">
        <f t="shared" ca="1" si="7"/>
        <v>-0.37826868591259927</v>
      </c>
      <c r="C137">
        <f t="shared" ca="1" si="8"/>
        <v>-0.44069353942632522</v>
      </c>
    </row>
    <row r="138" spans="1:3" x14ac:dyDescent="0.25">
      <c r="A138">
        <f t="shared" ca="1" si="6"/>
        <v>-1.405132541017259</v>
      </c>
      <c r="B138">
        <f t="shared" ca="1" si="7"/>
        <v>-1.6938894097457808</v>
      </c>
      <c r="C138">
        <f t="shared" ca="1" si="8"/>
        <v>-1.4693928061259387</v>
      </c>
    </row>
    <row r="139" spans="1:3" x14ac:dyDescent="0.25">
      <c r="A139">
        <f t="shared" ca="1" si="6"/>
        <v>2.5847650469076009</v>
      </c>
      <c r="B139">
        <f t="shared" ca="1" si="7"/>
        <v>1.1667787787295358</v>
      </c>
      <c r="C139">
        <f t="shared" ca="1" si="8"/>
        <v>1.9363985412533784</v>
      </c>
    </row>
    <row r="140" spans="1:3" x14ac:dyDescent="0.25">
      <c r="A140">
        <f t="shared" ca="1" si="6"/>
        <v>-2.6645105234447897E-2</v>
      </c>
      <c r="B140">
        <f t="shared" ca="1" si="7"/>
        <v>-0.78600554098208841</v>
      </c>
      <c r="C140">
        <f t="shared" ca="1" si="8"/>
        <v>0.52835076021563043</v>
      </c>
    </row>
    <row r="141" spans="1:3" x14ac:dyDescent="0.25">
      <c r="A141">
        <f t="shared" ca="1" si="6"/>
        <v>-0.15355904244212262</v>
      </c>
      <c r="B141">
        <f t="shared" ca="1" si="7"/>
        <v>1.0653760259366973</v>
      </c>
      <c r="C141">
        <f t="shared" ca="1" si="8"/>
        <v>0.20504018424820372</v>
      </c>
    </row>
    <row r="142" spans="1:3" x14ac:dyDescent="0.25">
      <c r="A142">
        <f t="shared" ca="1" si="6"/>
        <v>0.18649438467933341</v>
      </c>
      <c r="B142">
        <f t="shared" ca="1" si="7"/>
        <v>-0.53546549203721294</v>
      </c>
      <c r="C142">
        <f t="shared" ca="1" si="8"/>
        <v>0.43252595212666567</v>
      </c>
    </row>
    <row r="143" spans="1:3" x14ac:dyDescent="0.25">
      <c r="A143">
        <f t="shared" ca="1" si="6"/>
        <v>-0.49777170133837745</v>
      </c>
      <c r="B143">
        <f t="shared" ca="1" si="7"/>
        <v>-1.8148053764028171E-2</v>
      </c>
      <c r="C143">
        <f t="shared" ca="1" si="8"/>
        <v>-0.60645459576478389</v>
      </c>
    </row>
    <row r="144" spans="1:3" x14ac:dyDescent="0.25">
      <c r="A144">
        <f t="shared" ca="1" si="6"/>
        <v>1.1979732353743893</v>
      </c>
      <c r="B144">
        <f t="shared" ca="1" si="7"/>
        <v>2.4837123822188545</v>
      </c>
      <c r="C144">
        <f t="shared" ca="1" si="8"/>
        <v>1.8736935146632163</v>
      </c>
    </row>
    <row r="145" spans="1:3" x14ac:dyDescent="0.25">
      <c r="A145">
        <f t="shared" ca="1" si="6"/>
        <v>-1.0157626123320775</v>
      </c>
      <c r="B145">
        <f t="shared" ca="1" si="7"/>
        <v>-1.5356289125319011</v>
      </c>
      <c r="C145">
        <f t="shared" ca="1" si="8"/>
        <v>-1.2933917094421128</v>
      </c>
    </row>
    <row r="146" spans="1:3" x14ac:dyDescent="0.25">
      <c r="A146">
        <f t="shared" ca="1" si="6"/>
        <v>-1.7082171742181163</v>
      </c>
      <c r="B146">
        <f t="shared" ca="1" si="7"/>
        <v>-1.444245398619679</v>
      </c>
      <c r="C146">
        <f t="shared" ca="1" si="8"/>
        <v>-2.1573377873963158</v>
      </c>
    </row>
    <row r="147" spans="1:3" x14ac:dyDescent="0.25">
      <c r="A147">
        <f t="shared" ca="1" si="6"/>
        <v>-1.7815286147307821</v>
      </c>
      <c r="B147">
        <f t="shared" ca="1" si="7"/>
        <v>-1.1961915961420329</v>
      </c>
      <c r="C147">
        <f t="shared" ca="1" si="8"/>
        <v>-1.7950567609947385</v>
      </c>
    </row>
    <row r="148" spans="1:3" x14ac:dyDescent="0.25">
      <c r="A148">
        <f t="shared" ca="1" si="6"/>
        <v>-1.6348176089677404</v>
      </c>
      <c r="B148">
        <f t="shared" ca="1" si="7"/>
        <v>-0.99865796407460095</v>
      </c>
      <c r="C148">
        <f t="shared" ca="1" si="8"/>
        <v>-1.6457274790932952</v>
      </c>
    </row>
    <row r="149" spans="1:3" x14ac:dyDescent="0.25">
      <c r="A149">
        <f t="shared" ca="1" si="6"/>
        <v>7.6712892469153665E-2</v>
      </c>
      <c r="B149">
        <f t="shared" ca="1" si="7"/>
        <v>5.7713692692722272E-2</v>
      </c>
      <c r="C149">
        <f t="shared" ca="1" si="8"/>
        <v>0.18943972480055318</v>
      </c>
    </row>
    <row r="150" spans="1:3" x14ac:dyDescent="0.25">
      <c r="A150">
        <f t="shared" ca="1" si="6"/>
        <v>-0.43597054721578343</v>
      </c>
      <c r="B150">
        <f t="shared" ca="1" si="7"/>
        <v>0.27575050029220327</v>
      </c>
      <c r="C150">
        <f t="shared" ca="1" si="8"/>
        <v>-1.2923291816497824</v>
      </c>
    </row>
    <row r="151" spans="1:3" x14ac:dyDescent="0.25">
      <c r="A151">
        <f t="shared" ca="1" si="6"/>
        <v>-0.48610180442203355</v>
      </c>
      <c r="B151">
        <f t="shared" ca="1" si="7"/>
        <v>-1.0768982692168778</v>
      </c>
      <c r="C151">
        <f t="shared" ca="1" si="8"/>
        <v>0.28654626852497911</v>
      </c>
    </row>
    <row r="152" spans="1:3" x14ac:dyDescent="0.25">
      <c r="A152">
        <f t="shared" ca="1" si="6"/>
        <v>0.40008927007607581</v>
      </c>
      <c r="B152">
        <f t="shared" ca="1" si="7"/>
        <v>0.33949833026809817</v>
      </c>
      <c r="C152">
        <f t="shared" ca="1" si="8"/>
        <v>0.95854247631309542</v>
      </c>
    </row>
    <row r="153" spans="1:3" x14ac:dyDescent="0.25">
      <c r="A153">
        <f t="shared" ca="1" si="6"/>
        <v>1.4853114126764146</v>
      </c>
      <c r="B153">
        <f t="shared" ca="1" si="7"/>
        <v>1.153549764014312</v>
      </c>
      <c r="C153">
        <f t="shared" ca="1" si="8"/>
        <v>1.0324969765761585</v>
      </c>
    </row>
    <row r="154" spans="1:3" x14ac:dyDescent="0.25">
      <c r="A154">
        <f t="shared" ca="1" si="6"/>
        <v>-0.82398582634742445</v>
      </c>
      <c r="B154">
        <f t="shared" ca="1" si="7"/>
        <v>0.14535442699525969</v>
      </c>
      <c r="C154">
        <f t="shared" ca="1" si="8"/>
        <v>0.20739346709081363</v>
      </c>
    </row>
    <row r="155" spans="1:3" x14ac:dyDescent="0.25">
      <c r="A155">
        <f t="shared" ca="1" si="6"/>
        <v>2.3463182192416521</v>
      </c>
      <c r="B155">
        <f t="shared" ca="1" si="7"/>
        <v>1.2067648752607747</v>
      </c>
      <c r="C155">
        <f t="shared" ca="1" si="8"/>
        <v>1.0394133400076466</v>
      </c>
    </row>
    <row r="156" spans="1:3" x14ac:dyDescent="0.25">
      <c r="A156">
        <f t="shared" ca="1" si="6"/>
        <v>-0.63493673773721426</v>
      </c>
      <c r="B156">
        <f t="shared" ca="1" si="7"/>
        <v>5.176574491805197E-3</v>
      </c>
      <c r="C156">
        <f t="shared" ca="1" si="8"/>
        <v>-0.43322100373234734</v>
      </c>
    </row>
    <row r="157" spans="1:3" x14ac:dyDescent="0.25">
      <c r="A157">
        <f t="shared" ca="1" si="6"/>
        <v>8.883100000438468E-2</v>
      </c>
      <c r="B157">
        <f t="shared" ca="1" si="7"/>
        <v>0.45953714689724257</v>
      </c>
      <c r="C157">
        <f t="shared" ca="1" si="8"/>
        <v>-0.23514499399106983</v>
      </c>
    </row>
    <row r="158" spans="1:3" x14ac:dyDescent="0.25">
      <c r="A158">
        <f t="shared" ca="1" si="6"/>
        <v>-0.60419166790779233</v>
      </c>
      <c r="B158">
        <f t="shared" ca="1" si="7"/>
        <v>-0.46990203335926606</v>
      </c>
      <c r="C158">
        <f t="shared" ca="1" si="8"/>
        <v>0.51642919687545585</v>
      </c>
    </row>
    <row r="159" spans="1:3" x14ac:dyDescent="0.25">
      <c r="A159">
        <f t="shared" ca="1" si="6"/>
        <v>-2.2685087762297891</v>
      </c>
      <c r="B159">
        <f t="shared" ca="1" si="7"/>
        <v>-1.4687891228937735</v>
      </c>
      <c r="C159">
        <f t="shared" ca="1" si="8"/>
        <v>-1.6804210925826724</v>
      </c>
    </row>
    <row r="160" spans="1:3" x14ac:dyDescent="0.25">
      <c r="A160">
        <f t="shared" ca="1" si="6"/>
        <v>-0.16825727276680286</v>
      </c>
      <c r="B160">
        <f t="shared" ca="1" si="7"/>
        <v>-0.95241847378982403</v>
      </c>
      <c r="C160">
        <f t="shared" ca="1" si="8"/>
        <v>1.1503452182326528</v>
      </c>
    </row>
    <row r="161" spans="1:3" x14ac:dyDescent="0.25">
      <c r="A161">
        <f t="shared" ca="1" si="6"/>
        <v>-1.8176743668312807</v>
      </c>
      <c r="B161">
        <f t="shared" ca="1" si="7"/>
        <v>-1.2369622954441324</v>
      </c>
      <c r="C161">
        <f t="shared" ca="1" si="8"/>
        <v>-1.6413362928863826</v>
      </c>
    </row>
    <row r="162" spans="1:3" x14ac:dyDescent="0.25">
      <c r="A162">
        <f t="shared" ca="1" si="6"/>
        <v>0.62591139006883489</v>
      </c>
      <c r="B162">
        <f t="shared" ca="1" si="7"/>
        <v>1.4547534845537429</v>
      </c>
      <c r="C162">
        <f t="shared" ca="1" si="8"/>
        <v>1.0443027217783112</v>
      </c>
    </row>
    <row r="163" spans="1:3" x14ac:dyDescent="0.25">
      <c r="A163">
        <f t="shared" ca="1" si="6"/>
        <v>-1.4643951884039901</v>
      </c>
      <c r="B163">
        <f t="shared" ca="1" si="7"/>
        <v>-0.70819253743030963</v>
      </c>
      <c r="C163">
        <f t="shared" ca="1" si="8"/>
        <v>-0.4875824805391451</v>
      </c>
    </row>
    <row r="164" spans="1:3" x14ac:dyDescent="0.25">
      <c r="A164">
        <f t="shared" ca="1" si="6"/>
        <v>0.88342037663052519</v>
      </c>
      <c r="B164">
        <f t="shared" ca="1" si="7"/>
        <v>-6.0336679266048798E-2</v>
      </c>
      <c r="C164">
        <f t="shared" ca="1" si="8"/>
        <v>-0.31316837011971999</v>
      </c>
    </row>
    <row r="165" spans="1:3" x14ac:dyDescent="0.25">
      <c r="A165">
        <f t="shared" ca="1" si="6"/>
        <v>-0.83679476891765125</v>
      </c>
      <c r="B165">
        <f t="shared" ca="1" si="7"/>
        <v>0.26600889469662903</v>
      </c>
      <c r="C165">
        <f t="shared" ca="1" si="8"/>
        <v>-0.78947925298443589</v>
      </c>
    </row>
    <row r="166" spans="1:3" x14ac:dyDescent="0.25">
      <c r="A166">
        <f t="shared" ca="1" si="6"/>
        <v>0.16546682912808638</v>
      </c>
      <c r="B166">
        <f t="shared" ca="1" si="7"/>
        <v>0.17920911312195328</v>
      </c>
      <c r="C166">
        <f t="shared" ca="1" si="8"/>
        <v>1.5426955075038022</v>
      </c>
    </row>
    <row r="167" spans="1:3" x14ac:dyDescent="0.25">
      <c r="A167">
        <f t="shared" ca="1" si="6"/>
        <v>1.9265646646783643</v>
      </c>
      <c r="B167">
        <f t="shared" ca="1" si="7"/>
        <v>1.2090526965228914</v>
      </c>
      <c r="C167">
        <f t="shared" ca="1" si="8"/>
        <v>0.52493301182470054</v>
      </c>
    </row>
    <row r="168" spans="1:3" x14ac:dyDescent="0.25">
      <c r="A168">
        <f t="shared" ca="1" si="6"/>
        <v>-2.3483701874885732</v>
      </c>
      <c r="B168">
        <f t="shared" ca="1" si="7"/>
        <v>-1.6573980799799755</v>
      </c>
      <c r="C168">
        <f t="shared" ca="1" si="8"/>
        <v>-2.1010366429027005</v>
      </c>
    </row>
    <row r="169" spans="1:3" x14ac:dyDescent="0.25">
      <c r="A169">
        <f t="shared" ca="1" si="6"/>
        <v>1.0154983089527143</v>
      </c>
      <c r="B169">
        <f t="shared" ca="1" si="7"/>
        <v>0.50072437117681068</v>
      </c>
      <c r="C169">
        <f t="shared" ca="1" si="8"/>
        <v>0.64762411076716486</v>
      </c>
    </row>
    <row r="170" spans="1:3" x14ac:dyDescent="0.25">
      <c r="A170">
        <f t="shared" ca="1" si="6"/>
        <v>-0.84972866993896312</v>
      </c>
      <c r="B170">
        <f t="shared" ca="1" si="7"/>
        <v>0.42268578300311321</v>
      </c>
      <c r="C170">
        <f t="shared" ca="1" si="8"/>
        <v>-1.3561804685883834</v>
      </c>
    </row>
    <row r="171" spans="1:3" x14ac:dyDescent="0.25">
      <c r="A171">
        <f t="shared" ca="1" si="6"/>
        <v>-0.53080901734296726</v>
      </c>
      <c r="B171">
        <f t="shared" ca="1" si="7"/>
        <v>0.2836826871430122</v>
      </c>
      <c r="C171">
        <f t="shared" ca="1" si="8"/>
        <v>-1.8516814235777113</v>
      </c>
    </row>
    <row r="172" spans="1:3" x14ac:dyDescent="0.25">
      <c r="A172">
        <f t="shared" ca="1" si="6"/>
        <v>0.75263785945479089</v>
      </c>
      <c r="B172">
        <f t="shared" ca="1" si="7"/>
        <v>0.46651667489470072</v>
      </c>
      <c r="C172">
        <f t="shared" ca="1" si="8"/>
        <v>0.82058532929376837</v>
      </c>
    </row>
    <row r="173" spans="1:3" x14ac:dyDescent="0.25">
      <c r="A173">
        <f t="shared" ca="1" si="6"/>
        <v>0.62616982724218051</v>
      </c>
      <c r="B173">
        <f t="shared" ca="1" si="7"/>
        <v>-4.6487283195867424E-2</v>
      </c>
      <c r="C173">
        <f t="shared" ca="1" si="8"/>
        <v>-0.22388191448390338</v>
      </c>
    </row>
    <row r="174" spans="1:3" x14ac:dyDescent="0.25">
      <c r="A174">
        <f t="shared" ca="1" si="6"/>
        <v>-0.52774365389442401</v>
      </c>
      <c r="B174">
        <f t="shared" ca="1" si="7"/>
        <v>-0.50285792043238497</v>
      </c>
      <c r="C174">
        <f t="shared" ca="1" si="8"/>
        <v>0.15510373603707206</v>
      </c>
    </row>
    <row r="175" spans="1:3" x14ac:dyDescent="0.25">
      <c r="A175">
        <f t="shared" ca="1" si="6"/>
        <v>-1.0708824916568274</v>
      </c>
      <c r="B175">
        <f t="shared" ca="1" si="7"/>
        <v>-0.30211506526790549</v>
      </c>
      <c r="C175">
        <f t="shared" ca="1" si="8"/>
        <v>0.16517233359753347</v>
      </c>
    </row>
    <row r="176" spans="1:3" x14ac:dyDescent="0.25">
      <c r="A176">
        <f t="shared" ca="1" si="6"/>
        <v>-0.99404108323853146</v>
      </c>
      <c r="B176">
        <f t="shared" ca="1" si="7"/>
        <v>-0.98768417736172509</v>
      </c>
      <c r="C176">
        <f t="shared" ca="1" si="8"/>
        <v>-1.6581021728197638</v>
      </c>
    </row>
    <row r="177" spans="1:3" x14ac:dyDescent="0.25">
      <c r="A177">
        <f t="shared" ca="1" si="6"/>
        <v>-0.28479130746888831</v>
      </c>
      <c r="B177">
        <f t="shared" ca="1" si="7"/>
        <v>-1.8137359691064217</v>
      </c>
      <c r="C177">
        <f t="shared" ca="1" si="8"/>
        <v>-0.62994143191664742</v>
      </c>
    </row>
    <row r="178" spans="1:3" x14ac:dyDescent="0.25">
      <c r="A178">
        <f t="shared" ca="1" si="6"/>
        <v>0.16427190392731111</v>
      </c>
      <c r="B178">
        <f t="shared" ca="1" si="7"/>
        <v>0.35633983592588525</v>
      </c>
      <c r="C178">
        <f t="shared" ca="1" si="8"/>
        <v>-0.96326856057639398</v>
      </c>
    </row>
    <row r="179" spans="1:3" x14ac:dyDescent="0.25">
      <c r="A179">
        <f t="shared" ca="1" si="6"/>
        <v>-1.9066327065258686</v>
      </c>
      <c r="B179">
        <f t="shared" ca="1" si="7"/>
        <v>-2.403664217504355</v>
      </c>
      <c r="C179">
        <f t="shared" ca="1" si="8"/>
        <v>-0.26686413877746262</v>
      </c>
    </row>
    <row r="180" spans="1:3" x14ac:dyDescent="0.25">
      <c r="A180">
        <f t="shared" ca="1" si="6"/>
        <v>-0.94077282716893806</v>
      </c>
      <c r="B180">
        <f t="shared" ca="1" si="7"/>
        <v>-0.26365821488863944</v>
      </c>
      <c r="C180">
        <f t="shared" ca="1" si="8"/>
        <v>6.7983859982692296E-2</v>
      </c>
    </row>
    <row r="181" spans="1:3" x14ac:dyDescent="0.25">
      <c r="A181">
        <f t="shared" ca="1" si="6"/>
        <v>0.93100741299289091</v>
      </c>
      <c r="B181">
        <f t="shared" ca="1" si="7"/>
        <v>0.77692420914316318</v>
      </c>
      <c r="C181">
        <f t="shared" ca="1" si="8"/>
        <v>0.5850087987564998</v>
      </c>
    </row>
    <row r="182" spans="1:3" x14ac:dyDescent="0.25">
      <c r="A182">
        <f t="shared" ca="1" si="6"/>
        <v>-2.1471618336902294</v>
      </c>
      <c r="B182">
        <f t="shared" ca="1" si="7"/>
        <v>-1.9176074052298078</v>
      </c>
      <c r="C182">
        <f t="shared" ca="1" si="8"/>
        <v>-1.3212055469373249</v>
      </c>
    </row>
    <row r="183" spans="1:3" x14ac:dyDescent="0.25">
      <c r="A183">
        <f t="shared" ca="1" si="6"/>
        <v>-1.2956764189906542</v>
      </c>
      <c r="B183">
        <f t="shared" ca="1" si="7"/>
        <v>-1.1156644322046918</v>
      </c>
      <c r="C183">
        <f t="shared" ca="1" si="8"/>
        <v>-0.80643127590225394</v>
      </c>
    </row>
    <row r="184" spans="1:3" x14ac:dyDescent="0.25">
      <c r="A184">
        <f t="shared" ca="1" si="6"/>
        <v>-1.1171704325931113</v>
      </c>
      <c r="B184">
        <f t="shared" ca="1" si="7"/>
        <v>-1.1888689571852642</v>
      </c>
      <c r="C184">
        <f t="shared" ca="1" si="8"/>
        <v>0.37600739983889298</v>
      </c>
    </row>
    <row r="185" spans="1:3" x14ac:dyDescent="0.25">
      <c r="A185">
        <f t="shared" ca="1" si="6"/>
        <v>-1.0554264553272346</v>
      </c>
      <c r="B185">
        <f t="shared" ca="1" si="7"/>
        <v>-0.43966343922623496</v>
      </c>
      <c r="C185">
        <f t="shared" ca="1" si="8"/>
        <v>-0.82125257002568575</v>
      </c>
    </row>
    <row r="186" spans="1:3" x14ac:dyDescent="0.25">
      <c r="A186">
        <f t="shared" ca="1" si="6"/>
        <v>-2.2902931963212714</v>
      </c>
      <c r="B186">
        <f t="shared" ca="1" si="7"/>
        <v>-1.5433321741405459</v>
      </c>
      <c r="C186">
        <f t="shared" ca="1" si="8"/>
        <v>-2.8350158574406894</v>
      </c>
    </row>
    <row r="187" spans="1:3" x14ac:dyDescent="0.25">
      <c r="A187">
        <f t="shared" ca="1" si="6"/>
        <v>-0.11422836176911584</v>
      </c>
      <c r="B187">
        <f t="shared" ca="1" si="7"/>
        <v>-0.48502175472772113</v>
      </c>
      <c r="C187">
        <f t="shared" ca="1" si="8"/>
        <v>-0.21350941090952197</v>
      </c>
    </row>
    <row r="188" spans="1:3" x14ac:dyDescent="0.25">
      <c r="A188">
        <f t="shared" ca="1" si="6"/>
        <v>0.55780911146048773</v>
      </c>
      <c r="B188">
        <f t="shared" ca="1" si="7"/>
        <v>1.3479303201084152</v>
      </c>
      <c r="C188">
        <f t="shared" ca="1" si="8"/>
        <v>-0.71789829469500654</v>
      </c>
    </row>
    <row r="189" spans="1:3" x14ac:dyDescent="0.25">
      <c r="A189">
        <f t="shared" ca="1" si="6"/>
        <v>2.6919139427278131</v>
      </c>
      <c r="B189">
        <f t="shared" ca="1" si="7"/>
        <v>2.643556115344186</v>
      </c>
      <c r="C189">
        <f t="shared" ca="1" si="8"/>
        <v>1.4407803185888084</v>
      </c>
    </row>
    <row r="190" spans="1:3" x14ac:dyDescent="0.25">
      <c r="A190">
        <f t="shared" ca="1" si="6"/>
        <v>-0.32415297021581119</v>
      </c>
      <c r="B190">
        <f t="shared" ca="1" si="7"/>
        <v>1.4570674701369708</v>
      </c>
      <c r="C190">
        <f t="shared" ca="1" si="8"/>
        <v>-1.3286442994031817</v>
      </c>
    </row>
    <row r="191" spans="1:3" x14ac:dyDescent="0.25">
      <c r="A191">
        <f t="shared" ca="1" si="6"/>
        <v>0.45047946380779064</v>
      </c>
      <c r="B191">
        <f t="shared" ca="1" si="7"/>
        <v>0.32029100766855939</v>
      </c>
      <c r="C191">
        <f t="shared" ca="1" si="8"/>
        <v>0.53086172486955885</v>
      </c>
    </row>
    <row r="192" spans="1:3" x14ac:dyDescent="0.25">
      <c r="A192">
        <f t="shared" ca="1" si="6"/>
        <v>-0.81396510821612655</v>
      </c>
      <c r="B192">
        <f t="shared" ca="1" si="7"/>
        <v>-9.7190014840456362E-2</v>
      </c>
      <c r="C192">
        <f t="shared" ca="1" si="8"/>
        <v>-0.80024729157792218</v>
      </c>
    </row>
    <row r="193" spans="1:3" x14ac:dyDescent="0.25">
      <c r="A193">
        <f t="shared" ca="1" si="6"/>
        <v>-1.0396722064377331</v>
      </c>
      <c r="B193">
        <f t="shared" ca="1" si="7"/>
        <v>-0.32834892243719327</v>
      </c>
      <c r="C193">
        <f t="shared" ca="1" si="8"/>
        <v>-0.69972614568384128</v>
      </c>
    </row>
    <row r="194" spans="1:3" x14ac:dyDescent="0.25">
      <c r="A194">
        <f t="shared" ca="1" si="6"/>
        <v>1.4247133888104309</v>
      </c>
      <c r="B194">
        <f t="shared" ca="1" si="7"/>
        <v>0.22394979015331262</v>
      </c>
      <c r="C194">
        <f t="shared" ca="1" si="8"/>
        <v>-0.13253644913714901</v>
      </c>
    </row>
    <row r="195" spans="1:3" x14ac:dyDescent="0.25">
      <c r="A195">
        <f t="shared" ca="1" si="6"/>
        <v>-1.5202766146349433</v>
      </c>
      <c r="B195">
        <f t="shared" ca="1" si="7"/>
        <v>-0.69801216025022139</v>
      </c>
      <c r="C195">
        <f t="shared" ca="1" si="8"/>
        <v>-2.2788986811096246</v>
      </c>
    </row>
    <row r="196" spans="1:3" x14ac:dyDescent="0.25">
      <c r="A196">
        <f t="shared" ca="1" si="6"/>
        <v>-0.85424074638678638</v>
      </c>
      <c r="B196">
        <f t="shared" ca="1" si="7"/>
        <v>-0.62844853269365419</v>
      </c>
      <c r="C196">
        <f t="shared" ca="1" si="8"/>
        <v>-0.22186951034324326</v>
      </c>
    </row>
    <row r="197" spans="1:3" x14ac:dyDescent="0.25">
      <c r="A197">
        <f t="shared" ca="1" si="6"/>
        <v>0.53864128067224104</v>
      </c>
      <c r="B197">
        <f t="shared" ca="1" si="7"/>
        <v>0.45536023031110762</v>
      </c>
      <c r="C197">
        <f t="shared" ca="1" si="8"/>
        <v>-0.16652365681530457</v>
      </c>
    </row>
    <row r="198" spans="1:3" x14ac:dyDescent="0.25">
      <c r="A198">
        <f t="shared" ref="A198:A261" ca="1" si="9">NORMSINV(RAND())</f>
        <v>0.89362993018364667</v>
      </c>
      <c r="B198">
        <f t="shared" ref="B198:B261" ca="1" si="10">A198*SQRT($B$2)+SQRT(1-$B$2)*NORMSINV(RAND())</f>
        <v>0.8808544847165567</v>
      </c>
      <c r="C198">
        <f t="shared" ref="C198:C261" ca="1" si="11">A198*SQRT($B$2)+SQRT(1-$B$2)*NORMSINV(RAND())</f>
        <v>0.68230620709936884</v>
      </c>
    </row>
    <row r="199" spans="1:3" x14ac:dyDescent="0.25">
      <c r="A199">
        <f t="shared" ca="1" si="9"/>
        <v>-1.558762228965876</v>
      </c>
      <c r="B199">
        <f t="shared" ca="1" si="10"/>
        <v>-1.2257418551678438</v>
      </c>
      <c r="C199">
        <f t="shared" ca="1" si="11"/>
        <v>-1.5114543407587482</v>
      </c>
    </row>
    <row r="200" spans="1:3" x14ac:dyDescent="0.25">
      <c r="A200">
        <f t="shared" ca="1" si="9"/>
        <v>0.22913432993375737</v>
      </c>
      <c r="B200">
        <f t="shared" ca="1" si="10"/>
        <v>0.40246885621476686</v>
      </c>
      <c r="C200">
        <f t="shared" ca="1" si="11"/>
        <v>0.51182991900105901</v>
      </c>
    </row>
    <row r="201" spans="1:3" x14ac:dyDescent="0.25">
      <c r="A201">
        <f t="shared" ca="1" si="9"/>
        <v>5.6210213769502249E-2</v>
      </c>
      <c r="B201">
        <f t="shared" ca="1" si="10"/>
        <v>-6.5887658672692251E-2</v>
      </c>
      <c r="C201">
        <f t="shared" ca="1" si="11"/>
        <v>0.94894332448067154</v>
      </c>
    </row>
    <row r="202" spans="1:3" x14ac:dyDescent="0.25">
      <c r="A202">
        <f t="shared" ca="1" si="9"/>
        <v>-0.21881042050784441</v>
      </c>
      <c r="B202">
        <f t="shared" ca="1" si="10"/>
        <v>-0.42038091479694195</v>
      </c>
      <c r="C202">
        <f t="shared" ca="1" si="11"/>
        <v>0.31330302838018076</v>
      </c>
    </row>
    <row r="203" spans="1:3" x14ac:dyDescent="0.25">
      <c r="A203">
        <f t="shared" ca="1" si="9"/>
        <v>0.63135931138215895</v>
      </c>
      <c r="B203">
        <f t="shared" ca="1" si="10"/>
        <v>0.37612754634693202</v>
      </c>
      <c r="C203">
        <f t="shared" ca="1" si="11"/>
        <v>0.86635431897273241</v>
      </c>
    </row>
    <row r="204" spans="1:3" x14ac:dyDescent="0.25">
      <c r="A204">
        <f t="shared" ca="1" si="9"/>
        <v>-0.93904520327691543</v>
      </c>
      <c r="B204">
        <f t="shared" ca="1" si="10"/>
        <v>-1.014334528008872</v>
      </c>
      <c r="C204">
        <f t="shared" ca="1" si="11"/>
        <v>-2.6072577454654797</v>
      </c>
    </row>
    <row r="205" spans="1:3" x14ac:dyDescent="0.25">
      <c r="A205">
        <f t="shared" ca="1" si="9"/>
        <v>-2.3114638260949891</v>
      </c>
      <c r="B205">
        <f t="shared" ca="1" si="10"/>
        <v>-1.7328671740818975</v>
      </c>
      <c r="C205">
        <f t="shared" ca="1" si="11"/>
        <v>-2.1344753099479754</v>
      </c>
    </row>
    <row r="206" spans="1:3" x14ac:dyDescent="0.25">
      <c r="A206">
        <f t="shared" ca="1" si="9"/>
        <v>0.67983160646180818</v>
      </c>
      <c r="B206">
        <f t="shared" ca="1" si="10"/>
        <v>0.33984532866049</v>
      </c>
      <c r="C206">
        <f t="shared" ca="1" si="11"/>
        <v>2.824599191717847E-3</v>
      </c>
    </row>
    <row r="207" spans="1:3" x14ac:dyDescent="0.25">
      <c r="A207">
        <f t="shared" ca="1" si="9"/>
        <v>-0.51624850378273446</v>
      </c>
      <c r="B207">
        <f t="shared" ca="1" si="10"/>
        <v>-0.59312609122968518</v>
      </c>
      <c r="C207">
        <f t="shared" ca="1" si="11"/>
        <v>8.2710289777859491E-2</v>
      </c>
    </row>
    <row r="208" spans="1:3" x14ac:dyDescent="0.25">
      <c r="A208">
        <f t="shared" ca="1" si="9"/>
        <v>-1.1490033241151438</v>
      </c>
      <c r="B208">
        <f t="shared" ca="1" si="10"/>
        <v>-1.0629009988616911</v>
      </c>
      <c r="C208">
        <f t="shared" ca="1" si="11"/>
        <v>-0.66050267171231969</v>
      </c>
    </row>
    <row r="209" spans="1:3" x14ac:dyDescent="0.25">
      <c r="A209">
        <f t="shared" ca="1" si="9"/>
        <v>-0.28725282967291621</v>
      </c>
      <c r="B209">
        <f t="shared" ca="1" si="10"/>
        <v>1.0683925534490202</v>
      </c>
      <c r="C209">
        <f t="shared" ca="1" si="11"/>
        <v>-0.25451643674377722</v>
      </c>
    </row>
    <row r="210" spans="1:3" x14ac:dyDescent="0.25">
      <c r="A210">
        <f t="shared" ca="1" si="9"/>
        <v>0.37562875177506533</v>
      </c>
      <c r="B210">
        <f t="shared" ca="1" si="10"/>
        <v>-0.1782074059273675</v>
      </c>
      <c r="C210">
        <f t="shared" ca="1" si="11"/>
        <v>0.25739576689037258</v>
      </c>
    </row>
    <row r="211" spans="1:3" x14ac:dyDescent="0.25">
      <c r="A211">
        <f t="shared" ca="1" si="9"/>
        <v>-0.8198104903911837</v>
      </c>
      <c r="B211">
        <f t="shared" ca="1" si="10"/>
        <v>-0.13131008953780171</v>
      </c>
      <c r="C211">
        <f t="shared" ca="1" si="11"/>
        <v>-0.6448285367577461</v>
      </c>
    </row>
    <row r="212" spans="1:3" x14ac:dyDescent="0.25">
      <c r="A212">
        <f t="shared" ca="1" si="9"/>
        <v>-0.19198203468439562</v>
      </c>
      <c r="B212">
        <f t="shared" ca="1" si="10"/>
        <v>-0.68313535735717612</v>
      </c>
      <c r="C212">
        <f t="shared" ca="1" si="11"/>
        <v>-0.33691452422645579</v>
      </c>
    </row>
    <row r="213" spans="1:3" x14ac:dyDescent="0.25">
      <c r="A213">
        <f t="shared" ca="1" si="9"/>
        <v>3.0849182455256311E-2</v>
      </c>
      <c r="B213">
        <f t="shared" ca="1" si="10"/>
        <v>-1.2884554239134904</v>
      </c>
      <c r="C213">
        <f t="shared" ca="1" si="11"/>
        <v>-0.48454741990046202</v>
      </c>
    </row>
    <row r="214" spans="1:3" x14ac:dyDescent="0.25">
      <c r="A214">
        <f t="shared" ca="1" si="9"/>
        <v>0.68334194807577031</v>
      </c>
      <c r="B214">
        <f t="shared" ca="1" si="10"/>
        <v>0.70580093141781519</v>
      </c>
      <c r="C214">
        <f t="shared" ca="1" si="11"/>
        <v>-0.5090847318790499</v>
      </c>
    </row>
    <row r="215" spans="1:3" x14ac:dyDescent="0.25">
      <c r="A215">
        <f t="shared" ca="1" si="9"/>
        <v>-0.90700763225887349</v>
      </c>
      <c r="B215">
        <f t="shared" ca="1" si="10"/>
        <v>-2.2303938598043915E-2</v>
      </c>
      <c r="C215">
        <f t="shared" ca="1" si="11"/>
        <v>-1.5425225573269807</v>
      </c>
    </row>
    <row r="216" spans="1:3" x14ac:dyDescent="0.25">
      <c r="A216">
        <f t="shared" ca="1" si="9"/>
        <v>-0.1210417471590518</v>
      </c>
      <c r="B216">
        <f t="shared" ca="1" si="10"/>
        <v>-0.29462523177302052</v>
      </c>
      <c r="C216">
        <f t="shared" ca="1" si="11"/>
        <v>0.18076941117346296</v>
      </c>
    </row>
    <row r="217" spans="1:3" x14ac:dyDescent="0.25">
      <c r="A217">
        <f t="shared" ca="1" si="9"/>
        <v>0.82259092786097632</v>
      </c>
      <c r="B217">
        <f t="shared" ca="1" si="10"/>
        <v>0.15395974781506794</v>
      </c>
      <c r="C217">
        <f t="shared" ca="1" si="11"/>
        <v>1.3033239357734252</v>
      </c>
    </row>
    <row r="218" spans="1:3" x14ac:dyDescent="0.25">
      <c r="A218">
        <f t="shared" ca="1" si="9"/>
        <v>-0.36605946381812365</v>
      </c>
      <c r="B218">
        <f t="shared" ca="1" si="10"/>
        <v>0.35661947554187112</v>
      </c>
      <c r="C218">
        <f t="shared" ca="1" si="11"/>
        <v>-0.17208459339007326</v>
      </c>
    </row>
    <row r="219" spans="1:3" x14ac:dyDescent="0.25">
      <c r="A219">
        <f t="shared" ca="1" si="9"/>
        <v>0.76362634733722534</v>
      </c>
      <c r="B219">
        <f t="shared" ca="1" si="10"/>
        <v>0.3187777000657015</v>
      </c>
      <c r="C219">
        <f t="shared" ca="1" si="11"/>
        <v>0.52011568191523516</v>
      </c>
    </row>
    <row r="220" spans="1:3" x14ac:dyDescent="0.25">
      <c r="A220">
        <f t="shared" ca="1" si="9"/>
        <v>-0.13003467647285052</v>
      </c>
      <c r="B220">
        <f t="shared" ca="1" si="10"/>
        <v>0.2797968601760486</v>
      </c>
      <c r="C220">
        <f t="shared" ca="1" si="11"/>
        <v>-0.35117116593836017</v>
      </c>
    </row>
    <row r="221" spans="1:3" x14ac:dyDescent="0.25">
      <c r="A221">
        <f t="shared" ca="1" si="9"/>
        <v>-0.67460977209218631</v>
      </c>
      <c r="B221">
        <f t="shared" ca="1" si="10"/>
        <v>-0.74693891543102164</v>
      </c>
      <c r="C221">
        <f t="shared" ca="1" si="11"/>
        <v>-0.50792841896607299</v>
      </c>
    </row>
    <row r="222" spans="1:3" x14ac:dyDescent="0.25">
      <c r="A222">
        <f t="shared" ca="1" si="9"/>
        <v>0.13509256171804096</v>
      </c>
      <c r="B222">
        <f t="shared" ca="1" si="10"/>
        <v>3.3588546161634689E-2</v>
      </c>
      <c r="C222">
        <f t="shared" ca="1" si="11"/>
        <v>-1.2850409310762281</v>
      </c>
    </row>
    <row r="223" spans="1:3" x14ac:dyDescent="0.25">
      <c r="A223">
        <f t="shared" ca="1" si="9"/>
        <v>1.6768064049749405</v>
      </c>
      <c r="B223">
        <f t="shared" ca="1" si="10"/>
        <v>2.2310118840570015</v>
      </c>
      <c r="C223">
        <f t="shared" ca="1" si="11"/>
        <v>2.2187499362759442</v>
      </c>
    </row>
    <row r="224" spans="1:3" x14ac:dyDescent="0.25">
      <c r="A224">
        <f t="shared" ca="1" si="9"/>
        <v>-1.0884109940627336</v>
      </c>
      <c r="B224">
        <f t="shared" ca="1" si="10"/>
        <v>-0.24003813400579765</v>
      </c>
      <c r="C224">
        <f t="shared" ca="1" si="11"/>
        <v>-0.76384370824868875</v>
      </c>
    </row>
    <row r="225" spans="1:3" x14ac:dyDescent="0.25">
      <c r="A225">
        <f t="shared" ca="1" si="9"/>
        <v>-0.63766698501478203</v>
      </c>
      <c r="B225">
        <f t="shared" ca="1" si="10"/>
        <v>-0.28337359482656854</v>
      </c>
      <c r="C225">
        <f t="shared" ca="1" si="11"/>
        <v>-0.92640608501582755</v>
      </c>
    </row>
    <row r="226" spans="1:3" x14ac:dyDescent="0.25">
      <c r="A226">
        <f t="shared" ca="1" si="9"/>
        <v>0.50257855585399647</v>
      </c>
      <c r="B226">
        <f t="shared" ca="1" si="10"/>
        <v>0.79425648294949103</v>
      </c>
      <c r="C226">
        <f t="shared" ca="1" si="11"/>
        <v>0.54760354581437987</v>
      </c>
    </row>
    <row r="227" spans="1:3" x14ac:dyDescent="0.25">
      <c r="A227">
        <f t="shared" ca="1" si="9"/>
        <v>1.1676049832420365</v>
      </c>
      <c r="B227">
        <f t="shared" ca="1" si="10"/>
        <v>2.0601746068159885</v>
      </c>
      <c r="C227">
        <f t="shared" ca="1" si="11"/>
        <v>0.3232758961172284</v>
      </c>
    </row>
    <row r="228" spans="1:3" x14ac:dyDescent="0.25">
      <c r="A228">
        <f t="shared" ca="1" si="9"/>
        <v>0.62216370829137591</v>
      </c>
      <c r="B228">
        <f t="shared" ca="1" si="10"/>
        <v>-0.3492784764516863</v>
      </c>
      <c r="C228">
        <f t="shared" ca="1" si="11"/>
        <v>0.81210373854960127</v>
      </c>
    </row>
    <row r="229" spans="1:3" x14ac:dyDescent="0.25">
      <c r="A229">
        <f t="shared" ca="1" si="9"/>
        <v>-0.12644506161898145</v>
      </c>
      <c r="B229">
        <f t="shared" ca="1" si="10"/>
        <v>-0.66254244220898106</v>
      </c>
      <c r="C229">
        <f t="shared" ca="1" si="11"/>
        <v>-8.6502418409923745E-2</v>
      </c>
    </row>
    <row r="230" spans="1:3" x14ac:dyDescent="0.25">
      <c r="A230">
        <f t="shared" ca="1" si="9"/>
        <v>0.77291031285545708</v>
      </c>
      <c r="B230">
        <f t="shared" ca="1" si="10"/>
        <v>-0.1323993604044954</v>
      </c>
      <c r="C230">
        <f t="shared" ca="1" si="11"/>
        <v>0.19556027935100306</v>
      </c>
    </row>
    <row r="231" spans="1:3" x14ac:dyDescent="0.25">
      <c r="A231">
        <f t="shared" ca="1" si="9"/>
        <v>7.4628890140529841E-2</v>
      </c>
      <c r="B231">
        <f t="shared" ca="1" si="10"/>
        <v>-0.62075422177440398</v>
      </c>
      <c r="C231">
        <f t="shared" ca="1" si="11"/>
        <v>-0.81423621936635437</v>
      </c>
    </row>
    <row r="232" spans="1:3" x14ac:dyDescent="0.25">
      <c r="A232">
        <f t="shared" ca="1" si="9"/>
        <v>0.14722480775743543</v>
      </c>
      <c r="B232">
        <f t="shared" ca="1" si="10"/>
        <v>0.96402108399242969</v>
      </c>
      <c r="C232">
        <f t="shared" ca="1" si="11"/>
        <v>0.45527695918876337</v>
      </c>
    </row>
    <row r="233" spans="1:3" x14ac:dyDescent="0.25">
      <c r="A233">
        <f t="shared" ca="1" si="9"/>
        <v>-0.31463051899222338</v>
      </c>
      <c r="B233">
        <f t="shared" ca="1" si="10"/>
        <v>-0.18395646752290845</v>
      </c>
      <c r="C233">
        <f t="shared" ca="1" si="11"/>
        <v>-5.2433895332215874E-2</v>
      </c>
    </row>
    <row r="234" spans="1:3" x14ac:dyDescent="0.25">
      <c r="A234">
        <f t="shared" ca="1" si="9"/>
        <v>-2.2227890079720609</v>
      </c>
      <c r="B234">
        <f t="shared" ca="1" si="10"/>
        <v>-2.3458097887828253</v>
      </c>
      <c r="C234">
        <f t="shared" ca="1" si="11"/>
        <v>-3.334974416716368</v>
      </c>
    </row>
    <row r="235" spans="1:3" x14ac:dyDescent="0.25">
      <c r="A235">
        <f t="shared" ca="1" si="9"/>
        <v>-1.4895411088050949E-2</v>
      </c>
      <c r="B235">
        <f t="shared" ca="1" si="10"/>
        <v>0.76252993892582666</v>
      </c>
      <c r="C235">
        <f t="shared" ca="1" si="11"/>
        <v>0.82910933990326763</v>
      </c>
    </row>
    <row r="236" spans="1:3" x14ac:dyDescent="0.25">
      <c r="A236">
        <f t="shared" ca="1" si="9"/>
        <v>1.5483903412039808</v>
      </c>
      <c r="B236">
        <f t="shared" ca="1" si="10"/>
        <v>1.808109623081072</v>
      </c>
      <c r="C236">
        <f t="shared" ca="1" si="11"/>
        <v>0.59400316611652682</v>
      </c>
    </row>
    <row r="237" spans="1:3" x14ac:dyDescent="0.25">
      <c r="A237">
        <f t="shared" ca="1" si="9"/>
        <v>-0.88730105548523852</v>
      </c>
      <c r="B237">
        <f t="shared" ca="1" si="10"/>
        <v>7.5369542373520448E-2</v>
      </c>
      <c r="C237">
        <f t="shared" ca="1" si="11"/>
        <v>-1.5297417910423801</v>
      </c>
    </row>
    <row r="238" spans="1:3" x14ac:dyDescent="0.25">
      <c r="A238">
        <f t="shared" ca="1" si="9"/>
        <v>-0.92086905901383365</v>
      </c>
      <c r="B238">
        <f t="shared" ca="1" si="10"/>
        <v>-1.342259488326583</v>
      </c>
      <c r="C238">
        <f t="shared" ca="1" si="11"/>
        <v>-0.13573213210602253</v>
      </c>
    </row>
    <row r="239" spans="1:3" x14ac:dyDescent="0.25">
      <c r="A239">
        <f t="shared" ca="1" si="9"/>
        <v>0.80799087611089615</v>
      </c>
      <c r="B239">
        <f t="shared" ca="1" si="10"/>
        <v>1.2766589241463977</v>
      </c>
      <c r="C239">
        <f t="shared" ca="1" si="11"/>
        <v>0.64476695220199876</v>
      </c>
    </row>
    <row r="240" spans="1:3" x14ac:dyDescent="0.25">
      <c r="A240">
        <f t="shared" ca="1" si="9"/>
        <v>-2.8279277062285564</v>
      </c>
      <c r="B240">
        <f t="shared" ca="1" si="10"/>
        <v>-0.22886792471139206</v>
      </c>
      <c r="C240">
        <f t="shared" ca="1" si="11"/>
        <v>-2.1119005148393786</v>
      </c>
    </row>
    <row r="241" spans="1:3" x14ac:dyDescent="0.25">
      <c r="A241">
        <f t="shared" ca="1" si="9"/>
        <v>0.6261672331421918</v>
      </c>
      <c r="B241">
        <f t="shared" ca="1" si="10"/>
        <v>1.0755139522949473</v>
      </c>
      <c r="C241">
        <f t="shared" ca="1" si="11"/>
        <v>0.32690765083065304</v>
      </c>
    </row>
    <row r="242" spans="1:3" x14ac:dyDescent="0.25">
      <c r="A242">
        <f t="shared" ca="1" si="9"/>
        <v>-0.41335901525853924</v>
      </c>
      <c r="B242">
        <f t="shared" ca="1" si="10"/>
        <v>0.50450998669191738</v>
      </c>
      <c r="C242">
        <f t="shared" ca="1" si="11"/>
        <v>0.9222048428139773</v>
      </c>
    </row>
    <row r="243" spans="1:3" x14ac:dyDescent="0.25">
      <c r="A243">
        <f t="shared" ca="1" si="9"/>
        <v>0.97138693573997104</v>
      </c>
      <c r="B243">
        <f t="shared" ca="1" si="10"/>
        <v>1.3448187960569418</v>
      </c>
      <c r="C243">
        <f t="shared" ca="1" si="11"/>
        <v>1.7522363366208769</v>
      </c>
    </row>
    <row r="244" spans="1:3" x14ac:dyDescent="0.25">
      <c r="A244">
        <f t="shared" ca="1" si="9"/>
        <v>-0.10780223708827871</v>
      </c>
      <c r="B244">
        <f t="shared" ca="1" si="10"/>
        <v>0.23824953561902723</v>
      </c>
      <c r="C244">
        <f t="shared" ca="1" si="11"/>
        <v>-0.3739594978040599</v>
      </c>
    </row>
    <row r="245" spans="1:3" x14ac:dyDescent="0.25">
      <c r="A245">
        <f t="shared" ca="1" si="9"/>
        <v>0.99018725704703769</v>
      </c>
      <c r="B245">
        <f t="shared" ca="1" si="10"/>
        <v>0.25520406655264144</v>
      </c>
      <c r="C245">
        <f t="shared" ca="1" si="11"/>
        <v>2.0582597168050891</v>
      </c>
    </row>
    <row r="246" spans="1:3" x14ac:dyDescent="0.25">
      <c r="A246">
        <f t="shared" ca="1" si="9"/>
        <v>-0.29731364619554335</v>
      </c>
      <c r="B246">
        <f t="shared" ca="1" si="10"/>
        <v>-0.98919013261943456</v>
      </c>
      <c r="C246">
        <f t="shared" ca="1" si="11"/>
        <v>0.21126484867665887</v>
      </c>
    </row>
    <row r="247" spans="1:3" x14ac:dyDescent="0.25">
      <c r="A247">
        <f t="shared" ca="1" si="9"/>
        <v>0.94342144920544746</v>
      </c>
      <c r="B247">
        <f t="shared" ca="1" si="10"/>
        <v>-0.96126637170842466</v>
      </c>
      <c r="C247">
        <f t="shared" ca="1" si="11"/>
        <v>-0.24851432705353182</v>
      </c>
    </row>
    <row r="248" spans="1:3" x14ac:dyDescent="0.25">
      <c r="A248">
        <f t="shared" ca="1" si="9"/>
        <v>0.87954203572441092</v>
      </c>
      <c r="B248">
        <f t="shared" ca="1" si="10"/>
        <v>-0.50614929939446773</v>
      </c>
      <c r="C248">
        <f t="shared" ca="1" si="11"/>
        <v>0.80006857957125199</v>
      </c>
    </row>
    <row r="249" spans="1:3" x14ac:dyDescent="0.25">
      <c r="A249">
        <f t="shared" ca="1" si="9"/>
        <v>0.19780316434111403</v>
      </c>
      <c r="B249">
        <f t="shared" ca="1" si="10"/>
        <v>0.63948357869868311</v>
      </c>
      <c r="C249">
        <f t="shared" ca="1" si="11"/>
        <v>-0.40025029529067158</v>
      </c>
    </row>
    <row r="250" spans="1:3" x14ac:dyDescent="0.25">
      <c r="A250">
        <f t="shared" ca="1" si="9"/>
        <v>-0.2972845998083522</v>
      </c>
      <c r="B250">
        <f t="shared" ca="1" si="10"/>
        <v>-0.52000101120014719</v>
      </c>
      <c r="C250">
        <f t="shared" ca="1" si="11"/>
        <v>0.11198755625470028</v>
      </c>
    </row>
    <row r="251" spans="1:3" x14ac:dyDescent="0.25">
      <c r="A251">
        <f t="shared" ca="1" si="9"/>
        <v>0.31258922521218407</v>
      </c>
      <c r="B251">
        <f t="shared" ca="1" si="10"/>
        <v>7.8691459690869159E-2</v>
      </c>
      <c r="C251">
        <f t="shared" ca="1" si="11"/>
        <v>-0.33986979052237704</v>
      </c>
    </row>
    <row r="252" spans="1:3" x14ac:dyDescent="0.25">
      <c r="A252">
        <f t="shared" ca="1" si="9"/>
        <v>0.38243281038338567</v>
      </c>
      <c r="B252">
        <f t="shared" ca="1" si="10"/>
        <v>-0.49124497932343342</v>
      </c>
      <c r="C252">
        <f t="shared" ca="1" si="11"/>
        <v>0.7484967591810775</v>
      </c>
    </row>
    <row r="253" spans="1:3" x14ac:dyDescent="0.25">
      <c r="A253">
        <f t="shared" ca="1" si="9"/>
        <v>-0.95810296740785972</v>
      </c>
      <c r="B253">
        <f t="shared" ca="1" si="10"/>
        <v>0.14178315924921525</v>
      </c>
      <c r="C253">
        <f t="shared" ca="1" si="11"/>
        <v>-0.62908477999046186</v>
      </c>
    </row>
    <row r="254" spans="1:3" x14ac:dyDescent="0.25">
      <c r="A254">
        <f t="shared" ca="1" si="9"/>
        <v>-0.68040104388749201</v>
      </c>
      <c r="B254">
        <f t="shared" ca="1" si="10"/>
        <v>3.8397663769932699E-2</v>
      </c>
      <c r="C254">
        <f t="shared" ca="1" si="11"/>
        <v>0.38976534678053976</v>
      </c>
    </row>
    <row r="255" spans="1:3" x14ac:dyDescent="0.25">
      <c r="A255">
        <f t="shared" ca="1" si="9"/>
        <v>-0.8539087728953022</v>
      </c>
      <c r="B255">
        <f t="shared" ca="1" si="10"/>
        <v>7.8248285608903845E-2</v>
      </c>
      <c r="C255">
        <f t="shared" ca="1" si="11"/>
        <v>-0.33986535346788221</v>
      </c>
    </row>
    <row r="256" spans="1:3" x14ac:dyDescent="0.25">
      <c r="A256">
        <f t="shared" ca="1" si="9"/>
        <v>-7.747902747101984E-2</v>
      </c>
      <c r="B256">
        <f t="shared" ca="1" si="10"/>
        <v>0.55191600980363897</v>
      </c>
      <c r="C256">
        <f t="shared" ca="1" si="11"/>
        <v>-0.68826500298668336</v>
      </c>
    </row>
    <row r="257" spans="1:3" x14ac:dyDescent="0.25">
      <c r="A257">
        <f t="shared" ca="1" si="9"/>
        <v>-0.22231429308301356</v>
      </c>
      <c r="B257">
        <f t="shared" ca="1" si="10"/>
        <v>0.15443681245139379</v>
      </c>
      <c r="C257">
        <f t="shared" ca="1" si="11"/>
        <v>0.11653125139950793</v>
      </c>
    </row>
    <row r="258" spans="1:3" x14ac:dyDescent="0.25">
      <c r="A258">
        <f t="shared" ca="1" si="9"/>
        <v>0.855671315309803</v>
      </c>
      <c r="B258">
        <f t="shared" ca="1" si="10"/>
        <v>0.73921588488826884</v>
      </c>
      <c r="C258">
        <f t="shared" ca="1" si="11"/>
        <v>-0.25859728524925452</v>
      </c>
    </row>
    <row r="259" spans="1:3" x14ac:dyDescent="0.25">
      <c r="A259">
        <f t="shared" ca="1" si="9"/>
        <v>0.36174194145385208</v>
      </c>
      <c r="B259">
        <f t="shared" ca="1" si="10"/>
        <v>0.11723633901610189</v>
      </c>
      <c r="C259">
        <f t="shared" ca="1" si="11"/>
        <v>-0.81344590299975594</v>
      </c>
    </row>
    <row r="260" spans="1:3" x14ac:dyDescent="0.25">
      <c r="A260">
        <f t="shared" ca="1" si="9"/>
        <v>-0.29515405477727757</v>
      </c>
      <c r="B260">
        <f t="shared" ca="1" si="10"/>
        <v>7.9375771013359964E-3</v>
      </c>
      <c r="C260">
        <f t="shared" ca="1" si="11"/>
        <v>-1.1034766183372788</v>
      </c>
    </row>
    <row r="261" spans="1:3" x14ac:dyDescent="0.25">
      <c r="A261">
        <f t="shared" ca="1" si="9"/>
        <v>0.15255830415500868</v>
      </c>
      <c r="B261">
        <f t="shared" ca="1" si="10"/>
        <v>0.68608985279627865</v>
      </c>
      <c r="C261">
        <f t="shared" ca="1" si="11"/>
        <v>1.2792672523783086</v>
      </c>
    </row>
    <row r="262" spans="1:3" x14ac:dyDescent="0.25">
      <c r="A262">
        <f t="shared" ref="A262:A325" ca="1" si="12">NORMSINV(RAND())</f>
        <v>0.88329424517095623</v>
      </c>
      <c r="B262">
        <f t="shared" ref="B262:B325" ca="1" si="13">A262*SQRT($B$2)+SQRT(1-$B$2)*NORMSINV(RAND())</f>
        <v>1.3119133776944363</v>
      </c>
      <c r="C262">
        <f t="shared" ref="C262:C325" ca="1" si="14">A262*SQRT($B$2)+SQRT(1-$B$2)*NORMSINV(RAND())</f>
        <v>1.4943032169880071</v>
      </c>
    </row>
    <row r="263" spans="1:3" x14ac:dyDescent="0.25">
      <c r="A263">
        <f t="shared" ca="1" si="12"/>
        <v>1.1680887322000579</v>
      </c>
      <c r="B263">
        <f t="shared" ca="1" si="13"/>
        <v>1.3405069152183575</v>
      </c>
      <c r="C263">
        <f t="shared" ca="1" si="14"/>
        <v>3.2211216469614112E-2</v>
      </c>
    </row>
    <row r="264" spans="1:3" x14ac:dyDescent="0.25">
      <c r="A264">
        <f t="shared" ca="1" si="12"/>
        <v>0.46892028461600266</v>
      </c>
      <c r="B264">
        <f t="shared" ca="1" si="13"/>
        <v>1.5140616800108844</v>
      </c>
      <c r="C264">
        <f t="shared" ca="1" si="14"/>
        <v>0.8068014134406849</v>
      </c>
    </row>
    <row r="265" spans="1:3" x14ac:dyDescent="0.25">
      <c r="A265">
        <f t="shared" ca="1" si="12"/>
        <v>-0.71873551063679797</v>
      </c>
      <c r="B265">
        <f t="shared" ca="1" si="13"/>
        <v>-1.4204726297874881</v>
      </c>
      <c r="C265">
        <f t="shared" ca="1" si="14"/>
        <v>-0.7001607808724426</v>
      </c>
    </row>
    <row r="266" spans="1:3" x14ac:dyDescent="0.25">
      <c r="A266">
        <f t="shared" ca="1" si="12"/>
        <v>1.0948085026405157</v>
      </c>
      <c r="B266">
        <f t="shared" ca="1" si="13"/>
        <v>0.34407602460826042</v>
      </c>
      <c r="C266">
        <f t="shared" ca="1" si="14"/>
        <v>0.70147166642431347</v>
      </c>
    </row>
    <row r="267" spans="1:3" x14ac:dyDescent="0.25">
      <c r="A267">
        <f t="shared" ca="1" si="12"/>
        <v>0.31800415064387538</v>
      </c>
      <c r="B267">
        <f t="shared" ca="1" si="13"/>
        <v>0.30667184936154984</v>
      </c>
      <c r="C267">
        <f t="shared" ca="1" si="14"/>
        <v>-2.9635170102046138E-2</v>
      </c>
    </row>
    <row r="268" spans="1:3" x14ac:dyDescent="0.25">
      <c r="A268">
        <f t="shared" ca="1" si="12"/>
        <v>0.96156928654462481</v>
      </c>
      <c r="B268">
        <f t="shared" ca="1" si="13"/>
        <v>-0.25600471376171974</v>
      </c>
      <c r="C268">
        <f t="shared" ca="1" si="14"/>
        <v>0.71411855544553426</v>
      </c>
    </row>
    <row r="269" spans="1:3" x14ac:dyDescent="0.25">
      <c r="A269">
        <f t="shared" ca="1" si="12"/>
        <v>1.3811046074911393</v>
      </c>
      <c r="B269">
        <f t="shared" ca="1" si="13"/>
        <v>-0.75093448723692746</v>
      </c>
      <c r="C269">
        <f t="shared" ca="1" si="14"/>
        <v>0.53203180351817037</v>
      </c>
    </row>
    <row r="270" spans="1:3" x14ac:dyDescent="0.25">
      <c r="A270">
        <f t="shared" ca="1" si="12"/>
        <v>0.66572404276394603</v>
      </c>
      <c r="B270">
        <f t="shared" ca="1" si="13"/>
        <v>8.5139515572600299E-2</v>
      </c>
      <c r="C270">
        <f t="shared" ca="1" si="14"/>
        <v>2.6212678319328084</v>
      </c>
    </row>
    <row r="271" spans="1:3" x14ac:dyDescent="0.25">
      <c r="A271">
        <f t="shared" ca="1" si="12"/>
        <v>-0.91333309494375103</v>
      </c>
      <c r="B271">
        <f t="shared" ca="1" si="13"/>
        <v>-0.37103808600430971</v>
      </c>
      <c r="C271">
        <f t="shared" ca="1" si="14"/>
        <v>0.17183917062028919</v>
      </c>
    </row>
    <row r="272" spans="1:3" x14ac:dyDescent="0.25">
      <c r="A272">
        <f t="shared" ca="1" si="12"/>
        <v>-0.25227426851889911</v>
      </c>
      <c r="B272">
        <f t="shared" ca="1" si="13"/>
        <v>-1.057538963779556</v>
      </c>
      <c r="C272">
        <f t="shared" ca="1" si="14"/>
        <v>0.90829405799509644</v>
      </c>
    </row>
    <row r="273" spans="1:3" x14ac:dyDescent="0.25">
      <c r="A273">
        <f t="shared" ca="1" si="12"/>
        <v>0.52371668430330653</v>
      </c>
      <c r="B273">
        <f t="shared" ca="1" si="13"/>
        <v>-0.37029213664385036</v>
      </c>
      <c r="C273">
        <f t="shared" ca="1" si="14"/>
        <v>1.1046682603129294</v>
      </c>
    </row>
    <row r="274" spans="1:3" x14ac:dyDescent="0.25">
      <c r="A274">
        <f t="shared" ca="1" si="12"/>
        <v>-0.46888651647776625</v>
      </c>
      <c r="B274">
        <f t="shared" ca="1" si="13"/>
        <v>-0.73942546692771316</v>
      </c>
      <c r="C274">
        <f t="shared" ca="1" si="14"/>
        <v>-1.4121533089969966</v>
      </c>
    </row>
    <row r="275" spans="1:3" x14ac:dyDescent="0.25">
      <c r="A275">
        <f t="shared" ca="1" si="12"/>
        <v>2.713113179506528E-2</v>
      </c>
      <c r="B275">
        <f t="shared" ca="1" si="13"/>
        <v>0.62109420464479759</v>
      </c>
      <c r="C275">
        <f t="shared" ca="1" si="14"/>
        <v>1.113350042225244</v>
      </c>
    </row>
    <row r="276" spans="1:3" x14ac:dyDescent="0.25">
      <c r="A276">
        <f t="shared" ca="1" si="12"/>
        <v>0.77126773932417581</v>
      </c>
      <c r="B276">
        <f t="shared" ca="1" si="13"/>
        <v>1.23535755009945</v>
      </c>
      <c r="C276">
        <f t="shared" ca="1" si="14"/>
        <v>0.71282702242028106</v>
      </c>
    </row>
    <row r="277" spans="1:3" x14ac:dyDescent="0.25">
      <c r="A277">
        <f t="shared" ca="1" si="12"/>
        <v>0.80200550286992189</v>
      </c>
      <c r="B277">
        <f t="shared" ca="1" si="13"/>
        <v>0.9240147197285582</v>
      </c>
      <c r="C277">
        <f t="shared" ca="1" si="14"/>
        <v>-0.34795702883033086</v>
      </c>
    </row>
    <row r="278" spans="1:3" x14ac:dyDescent="0.25">
      <c r="A278">
        <f t="shared" ca="1" si="12"/>
        <v>-0.37364721382855531</v>
      </c>
      <c r="B278">
        <f t="shared" ca="1" si="13"/>
        <v>0.74798340932528284</v>
      </c>
      <c r="C278">
        <f t="shared" ca="1" si="14"/>
        <v>-0.15267483017549532</v>
      </c>
    </row>
    <row r="279" spans="1:3" x14ac:dyDescent="0.25">
      <c r="A279">
        <f t="shared" ca="1" si="12"/>
        <v>0.87779608665168019</v>
      </c>
      <c r="B279">
        <f t="shared" ca="1" si="13"/>
        <v>-0.24969132395200921</v>
      </c>
      <c r="C279">
        <f t="shared" ca="1" si="14"/>
        <v>0.40997937966419062</v>
      </c>
    </row>
    <row r="280" spans="1:3" x14ac:dyDescent="0.25">
      <c r="A280">
        <f t="shared" ca="1" si="12"/>
        <v>0.26045503128643416</v>
      </c>
      <c r="B280">
        <f t="shared" ca="1" si="13"/>
        <v>-2.3012637418489634E-2</v>
      </c>
      <c r="C280">
        <f t="shared" ca="1" si="14"/>
        <v>1.0689639411210887</v>
      </c>
    </row>
    <row r="281" spans="1:3" x14ac:dyDescent="0.25">
      <c r="A281">
        <f t="shared" ca="1" si="12"/>
        <v>-1.3234191834296811</v>
      </c>
      <c r="B281">
        <f t="shared" ca="1" si="13"/>
        <v>-0.6475553087253727</v>
      </c>
      <c r="C281">
        <f t="shared" ca="1" si="14"/>
        <v>-0.1771061974925483</v>
      </c>
    </row>
    <row r="282" spans="1:3" x14ac:dyDescent="0.25">
      <c r="A282">
        <f t="shared" ca="1" si="12"/>
        <v>0.45170690605862823</v>
      </c>
      <c r="B282">
        <f t="shared" ca="1" si="13"/>
        <v>1.6834196510687933</v>
      </c>
      <c r="C282">
        <f t="shared" ca="1" si="14"/>
        <v>1.1470646097422286</v>
      </c>
    </row>
    <row r="283" spans="1:3" x14ac:dyDescent="0.25">
      <c r="A283">
        <f t="shared" ca="1" si="12"/>
        <v>0.41490881975691057</v>
      </c>
      <c r="B283">
        <f t="shared" ca="1" si="13"/>
        <v>-0.12627946201583884</v>
      </c>
      <c r="C283">
        <f t="shared" ca="1" si="14"/>
        <v>-0.13821180042033332</v>
      </c>
    </row>
    <row r="284" spans="1:3" x14ac:dyDescent="0.25">
      <c r="A284">
        <f t="shared" ca="1" si="12"/>
        <v>-0.84286138000682032</v>
      </c>
      <c r="B284">
        <f t="shared" ca="1" si="13"/>
        <v>-1.2408386164072593</v>
      </c>
      <c r="C284">
        <f t="shared" ca="1" si="14"/>
        <v>1.9719224843178895E-2</v>
      </c>
    </row>
    <row r="285" spans="1:3" x14ac:dyDescent="0.25">
      <c r="A285">
        <f t="shared" ca="1" si="12"/>
        <v>0.47565680332891636</v>
      </c>
      <c r="B285">
        <f t="shared" ca="1" si="13"/>
        <v>0.57596933932341943</v>
      </c>
      <c r="C285">
        <f t="shared" ca="1" si="14"/>
        <v>-0.70123369145601977</v>
      </c>
    </row>
    <row r="286" spans="1:3" x14ac:dyDescent="0.25">
      <c r="A286">
        <f t="shared" ca="1" si="12"/>
        <v>-0.35154635404619861</v>
      </c>
      <c r="B286">
        <f t="shared" ca="1" si="13"/>
        <v>0.37760679623288418</v>
      </c>
      <c r="C286">
        <f t="shared" ca="1" si="14"/>
        <v>-0.98996142976661972</v>
      </c>
    </row>
    <row r="287" spans="1:3" x14ac:dyDescent="0.25">
      <c r="A287">
        <f t="shared" ca="1" si="12"/>
        <v>0.44539067936288301</v>
      </c>
      <c r="B287">
        <f t="shared" ca="1" si="13"/>
        <v>-1.6566539537297922</v>
      </c>
      <c r="C287">
        <f t="shared" ca="1" si="14"/>
        <v>-1.0865310843945193</v>
      </c>
    </row>
    <row r="288" spans="1:3" x14ac:dyDescent="0.25">
      <c r="A288">
        <f t="shared" ca="1" si="12"/>
        <v>-0.47648461771499812</v>
      </c>
      <c r="B288">
        <f t="shared" ca="1" si="13"/>
        <v>2.0142945326218586</v>
      </c>
      <c r="C288">
        <f t="shared" ca="1" si="14"/>
        <v>-0.99768675628350167</v>
      </c>
    </row>
    <row r="289" spans="1:3" x14ac:dyDescent="0.25">
      <c r="A289">
        <f t="shared" ca="1" si="12"/>
        <v>-0.88849743375695855</v>
      </c>
      <c r="B289">
        <f t="shared" ca="1" si="13"/>
        <v>-0.23159600944002229</v>
      </c>
      <c r="C289">
        <f t="shared" ca="1" si="14"/>
        <v>-1.0942409973072722</v>
      </c>
    </row>
    <row r="290" spans="1:3" x14ac:dyDescent="0.25">
      <c r="A290">
        <f t="shared" ca="1" si="12"/>
        <v>0.6357225831588168</v>
      </c>
      <c r="B290">
        <f t="shared" ca="1" si="13"/>
        <v>0.55566101656813149</v>
      </c>
      <c r="C290">
        <f t="shared" ca="1" si="14"/>
        <v>0.2105154747904571</v>
      </c>
    </row>
    <row r="291" spans="1:3" x14ac:dyDescent="0.25">
      <c r="A291">
        <f t="shared" ca="1" si="12"/>
        <v>2.1297425140259247E-2</v>
      </c>
      <c r="B291">
        <f t="shared" ca="1" si="13"/>
        <v>0.15863862403819151</v>
      </c>
      <c r="C291">
        <f t="shared" ca="1" si="14"/>
        <v>0.16779239594158424</v>
      </c>
    </row>
    <row r="292" spans="1:3" x14ac:dyDescent="0.25">
      <c r="A292">
        <f t="shared" ca="1" si="12"/>
        <v>-1.2934204456458842</v>
      </c>
      <c r="B292">
        <f t="shared" ca="1" si="13"/>
        <v>-1.2144696106233366</v>
      </c>
      <c r="C292">
        <f t="shared" ca="1" si="14"/>
        <v>-0.99484147753636887</v>
      </c>
    </row>
    <row r="293" spans="1:3" x14ac:dyDescent="0.25">
      <c r="A293">
        <f t="shared" ca="1" si="12"/>
        <v>-0.19788244295372498</v>
      </c>
      <c r="B293">
        <f t="shared" ca="1" si="13"/>
        <v>0.59048553956647443</v>
      </c>
      <c r="C293">
        <f t="shared" ca="1" si="14"/>
        <v>-0.47433060829142121</v>
      </c>
    </row>
    <row r="294" spans="1:3" x14ac:dyDescent="0.25">
      <c r="A294">
        <f t="shared" ca="1" si="12"/>
        <v>-1.2474730269730145</v>
      </c>
      <c r="B294">
        <f t="shared" ca="1" si="13"/>
        <v>-1.1360153910870103</v>
      </c>
      <c r="C294">
        <f t="shared" ca="1" si="14"/>
        <v>-0.48586414709116793</v>
      </c>
    </row>
    <row r="295" spans="1:3" x14ac:dyDescent="0.25">
      <c r="A295">
        <f t="shared" ca="1" si="12"/>
        <v>0.59446756729406502</v>
      </c>
      <c r="B295">
        <f t="shared" ca="1" si="13"/>
        <v>1.3619703636422269</v>
      </c>
      <c r="C295">
        <f t="shared" ca="1" si="14"/>
        <v>0.30351370233348318</v>
      </c>
    </row>
    <row r="296" spans="1:3" x14ac:dyDescent="0.25">
      <c r="A296">
        <f t="shared" ca="1" si="12"/>
        <v>1.5049790121203555</v>
      </c>
      <c r="B296">
        <f t="shared" ca="1" si="13"/>
        <v>2.2404420622107342</v>
      </c>
      <c r="C296">
        <f t="shared" ca="1" si="14"/>
        <v>1.5956365610604704</v>
      </c>
    </row>
    <row r="297" spans="1:3" x14ac:dyDescent="0.25">
      <c r="A297">
        <f t="shared" ca="1" si="12"/>
        <v>0.42868492367785876</v>
      </c>
      <c r="B297">
        <f t="shared" ca="1" si="13"/>
        <v>3.0558892641285584E-2</v>
      </c>
      <c r="C297">
        <f t="shared" ca="1" si="14"/>
        <v>1.3219286982514085</v>
      </c>
    </row>
    <row r="298" spans="1:3" x14ac:dyDescent="0.25">
      <c r="A298">
        <f t="shared" ca="1" si="12"/>
        <v>1.1195133985024759</v>
      </c>
      <c r="B298">
        <f t="shared" ca="1" si="13"/>
        <v>0.59303649208518572</v>
      </c>
      <c r="C298">
        <f t="shared" ca="1" si="14"/>
        <v>-2.2343423303644805E-2</v>
      </c>
    </row>
    <row r="299" spans="1:3" x14ac:dyDescent="0.25">
      <c r="A299">
        <f t="shared" ca="1" si="12"/>
        <v>0.8091410484169459</v>
      </c>
      <c r="B299">
        <f t="shared" ca="1" si="13"/>
        <v>-0.1349816930593869</v>
      </c>
      <c r="C299">
        <f t="shared" ca="1" si="14"/>
        <v>0.75008727016256482</v>
      </c>
    </row>
    <row r="300" spans="1:3" x14ac:dyDescent="0.25">
      <c r="A300">
        <f t="shared" ca="1" si="12"/>
        <v>1.3063312299099676E-3</v>
      </c>
      <c r="B300">
        <f t="shared" ca="1" si="13"/>
        <v>0.36797777928659164</v>
      </c>
      <c r="C300">
        <f t="shared" ca="1" si="14"/>
        <v>-1.1762128176277875</v>
      </c>
    </row>
    <row r="301" spans="1:3" x14ac:dyDescent="0.25">
      <c r="A301">
        <f t="shared" ca="1" si="12"/>
        <v>0.51475068270969726</v>
      </c>
      <c r="B301">
        <f t="shared" ca="1" si="13"/>
        <v>0.76882814327520943</v>
      </c>
      <c r="C301">
        <f t="shared" ca="1" si="14"/>
        <v>-1.1290375537258082</v>
      </c>
    </row>
    <row r="302" spans="1:3" x14ac:dyDescent="0.25">
      <c r="A302">
        <f t="shared" ca="1" si="12"/>
        <v>-1.9641966193663283</v>
      </c>
      <c r="B302">
        <f t="shared" ca="1" si="13"/>
        <v>-1.6299495153139691</v>
      </c>
      <c r="C302">
        <f t="shared" ca="1" si="14"/>
        <v>-1.2205989592632278</v>
      </c>
    </row>
    <row r="303" spans="1:3" x14ac:dyDescent="0.25">
      <c r="A303">
        <f t="shared" ca="1" si="12"/>
        <v>-0.65054361798458882</v>
      </c>
      <c r="B303">
        <f t="shared" ca="1" si="13"/>
        <v>-1.2285935232005218</v>
      </c>
      <c r="C303">
        <f t="shared" ca="1" si="14"/>
        <v>3.3967372226286041E-2</v>
      </c>
    </row>
    <row r="304" spans="1:3" x14ac:dyDescent="0.25">
      <c r="A304">
        <f t="shared" ca="1" si="12"/>
        <v>-0.44414437837211651</v>
      </c>
      <c r="B304">
        <f t="shared" ca="1" si="13"/>
        <v>-1.0929400539386622</v>
      </c>
      <c r="C304">
        <f t="shared" ca="1" si="14"/>
        <v>-1.2495573552591028</v>
      </c>
    </row>
    <row r="305" spans="1:3" x14ac:dyDescent="0.25">
      <c r="A305">
        <f t="shared" ca="1" si="12"/>
        <v>-2.5876379771620155E-2</v>
      </c>
      <c r="B305">
        <f t="shared" ca="1" si="13"/>
        <v>-0.10322658816556968</v>
      </c>
      <c r="C305">
        <f t="shared" ca="1" si="14"/>
        <v>-0.13938159487468421</v>
      </c>
    </row>
    <row r="306" spans="1:3" x14ac:dyDescent="0.25">
      <c r="A306">
        <f t="shared" ca="1" si="12"/>
        <v>-2.8463231572785763</v>
      </c>
      <c r="B306">
        <f t="shared" ca="1" si="13"/>
        <v>-1.5593637328761751</v>
      </c>
      <c r="C306">
        <f t="shared" ca="1" si="14"/>
        <v>-1.0423709027473353</v>
      </c>
    </row>
    <row r="307" spans="1:3" x14ac:dyDescent="0.25">
      <c r="A307">
        <f t="shared" ca="1" si="12"/>
        <v>2.1390499531244762</v>
      </c>
      <c r="B307">
        <f t="shared" ca="1" si="13"/>
        <v>1.2071651674505075</v>
      </c>
      <c r="C307">
        <f t="shared" ca="1" si="14"/>
        <v>1.0864064998193994</v>
      </c>
    </row>
    <row r="308" spans="1:3" x14ac:dyDescent="0.25">
      <c r="A308">
        <f t="shared" ca="1" si="12"/>
        <v>-4.085329256793279E-2</v>
      </c>
      <c r="B308">
        <f t="shared" ca="1" si="13"/>
        <v>0.14523132485182713</v>
      </c>
      <c r="C308">
        <f t="shared" ca="1" si="14"/>
        <v>-0.53676036135939265</v>
      </c>
    </row>
    <row r="309" spans="1:3" x14ac:dyDescent="0.25">
      <c r="A309">
        <f t="shared" ca="1" si="12"/>
        <v>-1.2020943664672707</v>
      </c>
      <c r="B309">
        <f t="shared" ca="1" si="13"/>
        <v>-2.3884095947526554</v>
      </c>
      <c r="C309">
        <f t="shared" ca="1" si="14"/>
        <v>-0.93500810037691773</v>
      </c>
    </row>
    <row r="310" spans="1:3" x14ac:dyDescent="0.25">
      <c r="A310">
        <f t="shared" ca="1" si="12"/>
        <v>-0.67412353172982198</v>
      </c>
      <c r="B310">
        <f t="shared" ca="1" si="13"/>
        <v>-0.67400888850036467</v>
      </c>
      <c r="C310">
        <f t="shared" ca="1" si="14"/>
        <v>-0.33655061477876158</v>
      </c>
    </row>
    <row r="311" spans="1:3" x14ac:dyDescent="0.25">
      <c r="A311">
        <f t="shared" ca="1" si="12"/>
        <v>-9.3816414166028969E-2</v>
      </c>
      <c r="B311">
        <f t="shared" ca="1" si="13"/>
        <v>-0.29777469195604533</v>
      </c>
      <c r="C311">
        <f t="shared" ca="1" si="14"/>
        <v>-1.0850584126841161</v>
      </c>
    </row>
    <row r="312" spans="1:3" x14ac:dyDescent="0.25">
      <c r="A312">
        <f t="shared" ca="1" si="12"/>
        <v>-0.3702722732485445</v>
      </c>
      <c r="B312">
        <f t="shared" ca="1" si="13"/>
        <v>-1.1949171377859527</v>
      </c>
      <c r="C312">
        <f t="shared" ca="1" si="14"/>
        <v>-2.5319267287664121E-2</v>
      </c>
    </row>
    <row r="313" spans="1:3" x14ac:dyDescent="0.25">
      <c r="A313">
        <f t="shared" ca="1" si="12"/>
        <v>-1.4820319352983378</v>
      </c>
      <c r="B313">
        <f t="shared" ca="1" si="13"/>
        <v>-0.45384758504884259</v>
      </c>
      <c r="C313">
        <f t="shared" ca="1" si="14"/>
        <v>-1.2333562228441906</v>
      </c>
    </row>
    <row r="314" spans="1:3" x14ac:dyDescent="0.25">
      <c r="A314">
        <f t="shared" ca="1" si="12"/>
        <v>-0.57600079731351339</v>
      </c>
      <c r="B314">
        <f t="shared" ca="1" si="13"/>
        <v>0.43128524565039861</v>
      </c>
      <c r="C314">
        <f t="shared" ca="1" si="14"/>
        <v>-1.857321095795287</v>
      </c>
    </row>
    <row r="315" spans="1:3" x14ac:dyDescent="0.25">
      <c r="A315">
        <f t="shared" ca="1" si="12"/>
        <v>-0.47352583115535529</v>
      </c>
      <c r="B315">
        <f t="shared" ca="1" si="13"/>
        <v>-1.0317987682228615</v>
      </c>
      <c r="C315">
        <f t="shared" ca="1" si="14"/>
        <v>-0.83464731054428865</v>
      </c>
    </row>
    <row r="316" spans="1:3" x14ac:dyDescent="0.25">
      <c r="A316">
        <f t="shared" ca="1" si="12"/>
        <v>-9.5043354256585819E-2</v>
      </c>
      <c r="B316">
        <f t="shared" ca="1" si="13"/>
        <v>0.52086791392939036</v>
      </c>
      <c r="C316">
        <f t="shared" ca="1" si="14"/>
        <v>-0.48364210467614627</v>
      </c>
    </row>
    <row r="317" spans="1:3" x14ac:dyDescent="0.25">
      <c r="A317">
        <f t="shared" ca="1" si="12"/>
        <v>-1.3512165342838325</v>
      </c>
      <c r="B317">
        <f t="shared" ca="1" si="13"/>
        <v>-0.46017507721777395</v>
      </c>
      <c r="C317">
        <f t="shared" ca="1" si="14"/>
        <v>-0.7591676410992646</v>
      </c>
    </row>
    <row r="318" spans="1:3" x14ac:dyDescent="0.25">
      <c r="A318">
        <f t="shared" ca="1" si="12"/>
        <v>0.15269424788859959</v>
      </c>
      <c r="B318">
        <f t="shared" ca="1" si="13"/>
        <v>-0.58255192157251512</v>
      </c>
      <c r="C318">
        <f t="shared" ca="1" si="14"/>
        <v>-0.17911163904545643</v>
      </c>
    </row>
    <row r="319" spans="1:3" x14ac:dyDescent="0.25">
      <c r="A319">
        <f t="shared" ca="1" si="12"/>
        <v>-0.13268385935986454</v>
      </c>
      <c r="B319">
        <f t="shared" ca="1" si="13"/>
        <v>-0.15988552203521827</v>
      </c>
      <c r="C319">
        <f t="shared" ca="1" si="14"/>
        <v>0.14411934642043972</v>
      </c>
    </row>
    <row r="320" spans="1:3" x14ac:dyDescent="0.25">
      <c r="A320">
        <f t="shared" ca="1" si="12"/>
        <v>0.79815166482491473</v>
      </c>
      <c r="B320">
        <f t="shared" ca="1" si="13"/>
        <v>0.40909929253414162</v>
      </c>
      <c r="C320">
        <f t="shared" ca="1" si="14"/>
        <v>0.3069913844084286</v>
      </c>
    </row>
    <row r="321" spans="1:3" x14ac:dyDescent="0.25">
      <c r="A321">
        <f t="shared" ca="1" si="12"/>
        <v>0.76755302468925157</v>
      </c>
      <c r="B321">
        <f t="shared" ca="1" si="13"/>
        <v>1.0343756982286885</v>
      </c>
      <c r="C321">
        <f t="shared" ca="1" si="14"/>
        <v>0.77677151100580288</v>
      </c>
    </row>
    <row r="322" spans="1:3" x14ac:dyDescent="0.25">
      <c r="A322">
        <f t="shared" ca="1" si="12"/>
        <v>-1.4384276260838549</v>
      </c>
      <c r="B322">
        <f t="shared" ca="1" si="13"/>
        <v>-0.74841803607401169</v>
      </c>
      <c r="C322">
        <f t="shared" ca="1" si="14"/>
        <v>-0.53695004837018745</v>
      </c>
    </row>
    <row r="323" spans="1:3" x14ac:dyDescent="0.25">
      <c r="A323">
        <f t="shared" ca="1" si="12"/>
        <v>-0.81263143567784313</v>
      </c>
      <c r="B323">
        <f t="shared" ca="1" si="13"/>
        <v>-2.2581882256639241</v>
      </c>
      <c r="C323">
        <f t="shared" ca="1" si="14"/>
        <v>-0.76438148947263107</v>
      </c>
    </row>
    <row r="324" spans="1:3" x14ac:dyDescent="0.25">
      <c r="A324">
        <f t="shared" ca="1" si="12"/>
        <v>0.3473711836608081</v>
      </c>
      <c r="B324">
        <f t="shared" ca="1" si="13"/>
        <v>-0.61567837799893788</v>
      </c>
      <c r="C324">
        <f t="shared" ca="1" si="14"/>
        <v>-0.75950796470957049</v>
      </c>
    </row>
    <row r="325" spans="1:3" x14ac:dyDescent="0.25">
      <c r="A325">
        <f t="shared" ca="1" si="12"/>
        <v>0.9753673073292658</v>
      </c>
      <c r="B325">
        <f t="shared" ca="1" si="13"/>
        <v>1.079633914773515</v>
      </c>
      <c r="C325">
        <f t="shared" ca="1" si="14"/>
        <v>-0.49403983506863947</v>
      </c>
    </row>
    <row r="326" spans="1:3" x14ac:dyDescent="0.25">
      <c r="A326">
        <f t="shared" ref="A326:A389" ca="1" si="15">NORMSINV(RAND())</f>
        <v>-0.24138762676500822</v>
      </c>
      <c r="B326">
        <f t="shared" ref="B326:B389" ca="1" si="16">A326*SQRT($B$2)+SQRT(1-$B$2)*NORMSINV(RAND())</f>
        <v>-0.13157726304322018</v>
      </c>
      <c r="C326">
        <f t="shared" ref="C326:C389" ca="1" si="17">A326*SQRT($B$2)+SQRT(1-$B$2)*NORMSINV(RAND())</f>
        <v>1.1383326582933835</v>
      </c>
    </row>
    <row r="327" spans="1:3" x14ac:dyDescent="0.25">
      <c r="A327">
        <f t="shared" ca="1" si="15"/>
        <v>-2.3150985575537142</v>
      </c>
      <c r="B327">
        <f t="shared" ca="1" si="16"/>
        <v>-2.4108651334172007</v>
      </c>
      <c r="C327">
        <f t="shared" ca="1" si="17"/>
        <v>-2.6749670962623382</v>
      </c>
    </row>
    <row r="328" spans="1:3" x14ac:dyDescent="0.25">
      <c r="A328">
        <f t="shared" ca="1" si="15"/>
        <v>2.0912016909847124</v>
      </c>
      <c r="B328">
        <f t="shared" ca="1" si="16"/>
        <v>1.7662989671996097</v>
      </c>
      <c r="C328">
        <f t="shared" ca="1" si="17"/>
        <v>1.2101946256788598</v>
      </c>
    </row>
    <row r="329" spans="1:3" x14ac:dyDescent="0.25">
      <c r="A329">
        <f t="shared" ca="1" si="15"/>
        <v>0.84661574123393879</v>
      </c>
      <c r="B329">
        <f t="shared" ca="1" si="16"/>
        <v>-8.3945539527076063E-2</v>
      </c>
      <c r="C329">
        <f t="shared" ca="1" si="17"/>
        <v>-0.12507930483181862</v>
      </c>
    </row>
    <row r="330" spans="1:3" x14ac:dyDescent="0.25">
      <c r="A330">
        <f t="shared" ca="1" si="15"/>
        <v>1.304992752996275</v>
      </c>
      <c r="B330">
        <f t="shared" ca="1" si="16"/>
        <v>0.73457324221356202</v>
      </c>
      <c r="C330">
        <f t="shared" ca="1" si="17"/>
        <v>1.872297945462237</v>
      </c>
    </row>
    <row r="331" spans="1:3" x14ac:dyDescent="0.25">
      <c r="A331">
        <f t="shared" ca="1" si="15"/>
        <v>-0.29050914559991181</v>
      </c>
      <c r="B331">
        <f t="shared" ca="1" si="16"/>
        <v>-1.6964086701853562</v>
      </c>
      <c r="C331">
        <f t="shared" ca="1" si="17"/>
        <v>-2.1372377421534625</v>
      </c>
    </row>
    <row r="332" spans="1:3" x14ac:dyDescent="0.25">
      <c r="A332">
        <f t="shared" ca="1" si="15"/>
        <v>-0.7615036831458083</v>
      </c>
      <c r="B332">
        <f t="shared" ca="1" si="16"/>
        <v>0.45537438719816314</v>
      </c>
      <c r="C332">
        <f t="shared" ca="1" si="17"/>
        <v>-0.35215249030789175</v>
      </c>
    </row>
    <row r="333" spans="1:3" x14ac:dyDescent="0.25">
      <c r="A333">
        <f t="shared" ca="1" si="15"/>
        <v>-1.8590398596514093</v>
      </c>
      <c r="B333">
        <f t="shared" ca="1" si="16"/>
        <v>-1.473113654873015</v>
      </c>
      <c r="C333">
        <f t="shared" ca="1" si="17"/>
        <v>-2.7539925141642754</v>
      </c>
    </row>
    <row r="334" spans="1:3" x14ac:dyDescent="0.25">
      <c r="A334">
        <f t="shared" ca="1" si="15"/>
        <v>0.13887920683930394</v>
      </c>
      <c r="B334">
        <f t="shared" ca="1" si="16"/>
        <v>-0.12375936447628813</v>
      </c>
      <c r="C334">
        <f t="shared" ca="1" si="17"/>
        <v>0.35002496649245485</v>
      </c>
    </row>
    <row r="335" spans="1:3" x14ac:dyDescent="0.25">
      <c r="A335">
        <f t="shared" ca="1" si="15"/>
        <v>-0.12980577720647682</v>
      </c>
      <c r="B335">
        <f t="shared" ca="1" si="16"/>
        <v>-4.9349629836711172E-2</v>
      </c>
      <c r="C335">
        <f t="shared" ca="1" si="17"/>
        <v>1.5813863375845565</v>
      </c>
    </row>
    <row r="336" spans="1:3" x14ac:dyDescent="0.25">
      <c r="A336">
        <f t="shared" ca="1" si="15"/>
        <v>-8.590892649569587E-2</v>
      </c>
      <c r="B336">
        <f t="shared" ca="1" si="16"/>
        <v>-1.0516992961128424</v>
      </c>
      <c r="C336">
        <f t="shared" ca="1" si="17"/>
        <v>-1.8108139424968475</v>
      </c>
    </row>
    <row r="337" spans="1:3" x14ac:dyDescent="0.25">
      <c r="A337">
        <f t="shared" ca="1" si="15"/>
        <v>-0.61317813394858522</v>
      </c>
      <c r="B337">
        <f t="shared" ca="1" si="16"/>
        <v>0.45581404494295907</v>
      </c>
      <c r="C337">
        <f t="shared" ca="1" si="17"/>
        <v>-1.3765756665384186</v>
      </c>
    </row>
    <row r="338" spans="1:3" x14ac:dyDescent="0.25">
      <c r="A338">
        <f t="shared" ca="1" si="15"/>
        <v>-0.33588454516406924</v>
      </c>
      <c r="B338">
        <f t="shared" ca="1" si="16"/>
        <v>-0.41496430944241491</v>
      </c>
      <c r="C338">
        <f t="shared" ca="1" si="17"/>
        <v>-0.14992942855216784</v>
      </c>
    </row>
    <row r="339" spans="1:3" x14ac:dyDescent="0.25">
      <c r="A339">
        <f t="shared" ca="1" si="15"/>
        <v>-0.57308225743664332</v>
      </c>
      <c r="B339">
        <f t="shared" ca="1" si="16"/>
        <v>-0.17759235208217786</v>
      </c>
      <c r="C339">
        <f t="shared" ca="1" si="17"/>
        <v>0.44757315530108505</v>
      </c>
    </row>
    <row r="340" spans="1:3" x14ac:dyDescent="0.25">
      <c r="A340">
        <f t="shared" ca="1" si="15"/>
        <v>0.91820323851066288</v>
      </c>
      <c r="B340">
        <f t="shared" ca="1" si="16"/>
        <v>0.42081806026616009</v>
      </c>
      <c r="C340">
        <f t="shared" ca="1" si="17"/>
        <v>0.63705121951120736</v>
      </c>
    </row>
    <row r="341" spans="1:3" x14ac:dyDescent="0.25">
      <c r="A341">
        <f t="shared" ca="1" si="15"/>
        <v>-0.36469639272242671</v>
      </c>
      <c r="B341">
        <f t="shared" ca="1" si="16"/>
        <v>-0.16048331574393371</v>
      </c>
      <c r="C341">
        <f t="shared" ca="1" si="17"/>
        <v>0.33659477521741743</v>
      </c>
    </row>
    <row r="342" spans="1:3" x14ac:dyDescent="0.25">
      <c r="A342">
        <f t="shared" ca="1" si="15"/>
        <v>-1.3476118784673838</v>
      </c>
      <c r="B342">
        <f t="shared" ca="1" si="16"/>
        <v>-0.67489204149919746</v>
      </c>
      <c r="C342">
        <f t="shared" ca="1" si="17"/>
        <v>-2.3516686764522761</v>
      </c>
    </row>
    <row r="343" spans="1:3" x14ac:dyDescent="0.25">
      <c r="A343">
        <f t="shared" ca="1" si="15"/>
        <v>0.37455475491371104</v>
      </c>
      <c r="B343">
        <f t="shared" ca="1" si="16"/>
        <v>-0.70595300631514335</v>
      </c>
      <c r="C343">
        <f t="shared" ca="1" si="17"/>
        <v>-0.57385679467936535</v>
      </c>
    </row>
    <row r="344" spans="1:3" x14ac:dyDescent="0.25">
      <c r="A344">
        <f t="shared" ca="1" si="15"/>
        <v>-1.2137173337527265</v>
      </c>
      <c r="B344">
        <f t="shared" ca="1" si="16"/>
        <v>0.28086439843499467</v>
      </c>
      <c r="C344">
        <f t="shared" ca="1" si="17"/>
        <v>-0.2644962464773023</v>
      </c>
    </row>
    <row r="345" spans="1:3" x14ac:dyDescent="0.25">
      <c r="A345">
        <f t="shared" ca="1" si="15"/>
        <v>-0.12052731546667436</v>
      </c>
      <c r="B345">
        <f t="shared" ca="1" si="16"/>
        <v>-0.815507064007574</v>
      </c>
      <c r="C345">
        <f t="shared" ca="1" si="17"/>
        <v>-2.7600099190084978E-2</v>
      </c>
    </row>
    <row r="346" spans="1:3" x14ac:dyDescent="0.25">
      <c r="A346">
        <f t="shared" ca="1" si="15"/>
        <v>-0.68116102596314099</v>
      </c>
      <c r="B346">
        <f t="shared" ca="1" si="16"/>
        <v>-1.1996224636431767</v>
      </c>
      <c r="C346">
        <f t="shared" ca="1" si="17"/>
        <v>-0.84165873448619366</v>
      </c>
    </row>
    <row r="347" spans="1:3" x14ac:dyDescent="0.25">
      <c r="A347">
        <f t="shared" ca="1" si="15"/>
        <v>-0.80551469993050318</v>
      </c>
      <c r="B347">
        <f t="shared" ca="1" si="16"/>
        <v>-0.82677279873352205</v>
      </c>
      <c r="C347">
        <f t="shared" ca="1" si="17"/>
        <v>-0.3819329380858717</v>
      </c>
    </row>
    <row r="348" spans="1:3" x14ac:dyDescent="0.25">
      <c r="A348">
        <f t="shared" ca="1" si="15"/>
        <v>1.4041362491491214</v>
      </c>
      <c r="B348">
        <f t="shared" ca="1" si="16"/>
        <v>1.4782828039277089</v>
      </c>
      <c r="C348">
        <f t="shared" ca="1" si="17"/>
        <v>0.91808896695630571</v>
      </c>
    </row>
    <row r="349" spans="1:3" x14ac:dyDescent="0.25">
      <c r="A349">
        <f t="shared" ca="1" si="15"/>
        <v>0.55161607037889537</v>
      </c>
      <c r="B349">
        <f t="shared" ca="1" si="16"/>
        <v>0.35714311957984024</v>
      </c>
      <c r="C349">
        <f t="shared" ca="1" si="17"/>
        <v>0.60034753270765495</v>
      </c>
    </row>
    <row r="350" spans="1:3" x14ac:dyDescent="0.25">
      <c r="A350">
        <f t="shared" ca="1" si="15"/>
        <v>0.50168107825082731</v>
      </c>
      <c r="B350">
        <f t="shared" ca="1" si="16"/>
        <v>0.73933754895802895</v>
      </c>
      <c r="C350">
        <f t="shared" ca="1" si="17"/>
        <v>-1.5860760395156104E-2</v>
      </c>
    </row>
    <row r="351" spans="1:3" x14ac:dyDescent="0.25">
      <c r="A351">
        <f t="shared" ca="1" si="15"/>
        <v>-0.95181441412195555</v>
      </c>
      <c r="B351">
        <f t="shared" ca="1" si="16"/>
        <v>-1.4535761486350998</v>
      </c>
      <c r="C351">
        <f t="shared" ca="1" si="17"/>
        <v>-1.9237351281328416</v>
      </c>
    </row>
    <row r="352" spans="1:3" x14ac:dyDescent="0.25">
      <c r="A352">
        <f t="shared" ca="1" si="15"/>
        <v>0.56573172625078583</v>
      </c>
      <c r="B352">
        <f t="shared" ca="1" si="16"/>
        <v>0.1628682398266586</v>
      </c>
      <c r="C352">
        <f t="shared" ca="1" si="17"/>
        <v>0.99589298049872577</v>
      </c>
    </row>
    <row r="353" spans="1:3" x14ac:dyDescent="0.25">
      <c r="A353">
        <f t="shared" ca="1" si="15"/>
        <v>-0.76008244173882078</v>
      </c>
      <c r="B353">
        <f t="shared" ca="1" si="16"/>
        <v>-5.9969778745357194E-2</v>
      </c>
      <c r="C353">
        <f t="shared" ca="1" si="17"/>
        <v>-0.42856093878246837</v>
      </c>
    </row>
    <row r="354" spans="1:3" x14ac:dyDescent="0.25">
      <c r="A354">
        <f t="shared" ca="1" si="15"/>
        <v>1.5557951278854141</v>
      </c>
      <c r="B354">
        <f t="shared" ca="1" si="16"/>
        <v>1.8797672235542353</v>
      </c>
      <c r="C354">
        <f t="shared" ca="1" si="17"/>
        <v>-6.3956137188887485E-3</v>
      </c>
    </row>
    <row r="355" spans="1:3" x14ac:dyDescent="0.25">
      <c r="A355">
        <f t="shared" ca="1" si="15"/>
        <v>2.4209228068484082E-2</v>
      </c>
      <c r="B355">
        <f t="shared" ca="1" si="16"/>
        <v>1.1555867744953521</v>
      </c>
      <c r="C355">
        <f t="shared" ca="1" si="17"/>
        <v>0.13930117252048033</v>
      </c>
    </row>
    <row r="356" spans="1:3" x14ac:dyDescent="0.25">
      <c r="A356">
        <f t="shared" ca="1" si="15"/>
        <v>-0.20111719633092967</v>
      </c>
      <c r="B356">
        <f t="shared" ca="1" si="16"/>
        <v>-0.30612999681135467</v>
      </c>
      <c r="C356">
        <f t="shared" ca="1" si="17"/>
        <v>-0.80771192702782812</v>
      </c>
    </row>
    <row r="357" spans="1:3" x14ac:dyDescent="0.25">
      <c r="A357">
        <f t="shared" ca="1" si="15"/>
        <v>1.2595653238299587</v>
      </c>
      <c r="B357">
        <f t="shared" ca="1" si="16"/>
        <v>2.3022582789269568</v>
      </c>
      <c r="C357">
        <f t="shared" ca="1" si="17"/>
        <v>1.059820375211856</v>
      </c>
    </row>
    <row r="358" spans="1:3" x14ac:dyDescent="0.25">
      <c r="A358">
        <f t="shared" ca="1" si="15"/>
        <v>-0.31962812500430587</v>
      </c>
      <c r="B358">
        <f t="shared" ca="1" si="16"/>
        <v>-5.5464536292438166E-2</v>
      </c>
      <c r="C358">
        <f t="shared" ca="1" si="17"/>
        <v>0.76286423386036495</v>
      </c>
    </row>
    <row r="359" spans="1:3" x14ac:dyDescent="0.25">
      <c r="A359">
        <f t="shared" ca="1" si="15"/>
        <v>-2.4918802218394807</v>
      </c>
      <c r="B359">
        <f t="shared" ca="1" si="16"/>
        <v>-0.74395696466552241</v>
      </c>
      <c r="C359">
        <f t="shared" ca="1" si="17"/>
        <v>-1.6220047841156049</v>
      </c>
    </row>
    <row r="360" spans="1:3" x14ac:dyDescent="0.25">
      <c r="A360">
        <f t="shared" ca="1" si="15"/>
        <v>1.4037916061119122</v>
      </c>
      <c r="B360">
        <f t="shared" ca="1" si="16"/>
        <v>0.71076951123852239</v>
      </c>
      <c r="C360">
        <f t="shared" ca="1" si="17"/>
        <v>1.8278139180229189</v>
      </c>
    </row>
    <row r="361" spans="1:3" x14ac:dyDescent="0.25">
      <c r="A361">
        <f t="shared" ca="1" si="15"/>
        <v>1.4788498557647722</v>
      </c>
      <c r="B361">
        <f t="shared" ca="1" si="16"/>
        <v>1.4904136618141082</v>
      </c>
      <c r="C361">
        <f t="shared" ca="1" si="17"/>
        <v>-0.14269449227228548</v>
      </c>
    </row>
    <row r="362" spans="1:3" x14ac:dyDescent="0.25">
      <c r="A362">
        <f t="shared" ca="1" si="15"/>
        <v>0.38815998337464358</v>
      </c>
      <c r="B362">
        <f t="shared" ca="1" si="16"/>
        <v>0.94568873952897259</v>
      </c>
      <c r="C362">
        <f t="shared" ca="1" si="17"/>
        <v>1.3598261185881859</v>
      </c>
    </row>
    <row r="363" spans="1:3" x14ac:dyDescent="0.25">
      <c r="A363">
        <f t="shared" ca="1" si="15"/>
        <v>1.4722371736507565</v>
      </c>
      <c r="B363">
        <f t="shared" ca="1" si="16"/>
        <v>0.12931924076812151</v>
      </c>
      <c r="C363">
        <f t="shared" ca="1" si="17"/>
        <v>-5.9196180588456881E-2</v>
      </c>
    </row>
    <row r="364" spans="1:3" x14ac:dyDescent="0.25">
      <c r="A364">
        <f t="shared" ca="1" si="15"/>
        <v>0.1169793521898178</v>
      </c>
      <c r="B364">
        <f t="shared" ca="1" si="16"/>
        <v>-0.21235335347794548</v>
      </c>
      <c r="C364">
        <f t="shared" ca="1" si="17"/>
        <v>0.46808976152833193</v>
      </c>
    </row>
    <row r="365" spans="1:3" x14ac:dyDescent="0.25">
      <c r="A365">
        <f t="shared" ca="1" si="15"/>
        <v>2.1956103380402867</v>
      </c>
      <c r="B365">
        <f t="shared" ca="1" si="16"/>
        <v>1.7214329508435842</v>
      </c>
      <c r="C365">
        <f t="shared" ca="1" si="17"/>
        <v>2.4879348313195822</v>
      </c>
    </row>
    <row r="366" spans="1:3" x14ac:dyDescent="0.25">
      <c r="A366">
        <f t="shared" ca="1" si="15"/>
        <v>-2.8600548655198185E-3</v>
      </c>
      <c r="B366">
        <f t="shared" ca="1" si="16"/>
        <v>-0.67591092169305289</v>
      </c>
      <c r="C366">
        <f t="shared" ca="1" si="17"/>
        <v>-0.39958547947159706</v>
      </c>
    </row>
    <row r="367" spans="1:3" x14ac:dyDescent="0.25">
      <c r="A367">
        <f t="shared" ca="1" si="15"/>
        <v>-0.92849644783053809</v>
      </c>
      <c r="B367">
        <f t="shared" ca="1" si="16"/>
        <v>-1.0599712628023332</v>
      </c>
      <c r="C367">
        <f t="shared" ca="1" si="17"/>
        <v>-0.27848779103408017</v>
      </c>
    </row>
    <row r="368" spans="1:3" x14ac:dyDescent="0.25">
      <c r="A368">
        <f t="shared" ca="1" si="15"/>
        <v>-0.13426472117778021</v>
      </c>
      <c r="B368">
        <f t="shared" ca="1" si="16"/>
        <v>-0.15499577728891542</v>
      </c>
      <c r="C368">
        <f t="shared" ca="1" si="17"/>
        <v>-0.51379641906822549</v>
      </c>
    </row>
    <row r="369" spans="1:3" x14ac:dyDescent="0.25">
      <c r="A369">
        <f t="shared" ca="1" si="15"/>
        <v>-0.47130985619928234</v>
      </c>
      <c r="B369">
        <f t="shared" ca="1" si="16"/>
        <v>1.2886830800501983</v>
      </c>
      <c r="C369">
        <f t="shared" ca="1" si="17"/>
        <v>0.35708811113808675</v>
      </c>
    </row>
    <row r="370" spans="1:3" x14ac:dyDescent="0.25">
      <c r="A370">
        <f t="shared" ca="1" si="15"/>
        <v>2.2373430806812662</v>
      </c>
      <c r="B370">
        <f t="shared" ca="1" si="16"/>
        <v>1.2443591474425917</v>
      </c>
      <c r="C370">
        <f t="shared" ca="1" si="17"/>
        <v>1.8494077284205854</v>
      </c>
    </row>
    <row r="371" spans="1:3" x14ac:dyDescent="0.25">
      <c r="A371">
        <f t="shared" ca="1" si="15"/>
        <v>-1.0160616642309646</v>
      </c>
      <c r="B371">
        <f t="shared" ca="1" si="16"/>
        <v>-1.7769245597601744</v>
      </c>
      <c r="C371">
        <f t="shared" ca="1" si="17"/>
        <v>-0.74018872946911185</v>
      </c>
    </row>
    <row r="372" spans="1:3" x14ac:dyDescent="0.25">
      <c r="A372">
        <f t="shared" ca="1" si="15"/>
        <v>-1.1724103821070686</v>
      </c>
      <c r="B372">
        <f t="shared" ca="1" si="16"/>
        <v>3.4415905803352076E-2</v>
      </c>
      <c r="C372">
        <f t="shared" ca="1" si="17"/>
        <v>-1.0604485746978487</v>
      </c>
    </row>
    <row r="373" spans="1:3" x14ac:dyDescent="0.25">
      <c r="A373">
        <f t="shared" ca="1" si="15"/>
        <v>4.6314990578652349E-2</v>
      </c>
      <c r="B373">
        <f t="shared" ca="1" si="16"/>
        <v>-8.2534040478743159E-2</v>
      </c>
      <c r="C373">
        <f t="shared" ca="1" si="17"/>
        <v>-0.3640158213083009</v>
      </c>
    </row>
    <row r="374" spans="1:3" x14ac:dyDescent="0.25">
      <c r="A374">
        <f t="shared" ca="1" si="15"/>
        <v>0.45493431366613163</v>
      </c>
      <c r="B374">
        <f t="shared" ca="1" si="16"/>
        <v>-0.558943055284433</v>
      </c>
      <c r="C374">
        <f t="shared" ca="1" si="17"/>
        <v>-0.51169691395184502</v>
      </c>
    </row>
    <row r="375" spans="1:3" x14ac:dyDescent="0.25">
      <c r="A375">
        <f t="shared" ca="1" si="15"/>
        <v>-0.83764728265546462</v>
      </c>
      <c r="B375">
        <f t="shared" ca="1" si="16"/>
        <v>-0.99287718190407381</v>
      </c>
      <c r="C375">
        <f t="shared" ca="1" si="17"/>
        <v>-1.010688095901819</v>
      </c>
    </row>
    <row r="376" spans="1:3" x14ac:dyDescent="0.25">
      <c r="A376">
        <f t="shared" ca="1" si="15"/>
        <v>0.11734459290100829</v>
      </c>
      <c r="B376">
        <f t="shared" ca="1" si="16"/>
        <v>6.8058260430033449E-2</v>
      </c>
      <c r="C376">
        <f t="shared" ca="1" si="17"/>
        <v>-0.36976027908390913</v>
      </c>
    </row>
    <row r="377" spans="1:3" x14ac:dyDescent="0.25">
      <c r="A377">
        <f t="shared" ca="1" si="15"/>
        <v>-0.70754225016309447</v>
      </c>
      <c r="B377">
        <f t="shared" ca="1" si="16"/>
        <v>-1.2332073455068049</v>
      </c>
      <c r="C377">
        <f t="shared" ca="1" si="17"/>
        <v>-1.5229822050082138</v>
      </c>
    </row>
    <row r="378" spans="1:3" x14ac:dyDescent="0.25">
      <c r="A378">
        <f t="shared" ca="1" si="15"/>
        <v>-1.6858276817791</v>
      </c>
      <c r="B378">
        <f t="shared" ca="1" si="16"/>
        <v>-0.94175283060157822</v>
      </c>
      <c r="C378">
        <f t="shared" ca="1" si="17"/>
        <v>-1.5848699124905856</v>
      </c>
    </row>
    <row r="379" spans="1:3" x14ac:dyDescent="0.25">
      <c r="A379">
        <f t="shared" ca="1" si="15"/>
        <v>-0.15001033636745137</v>
      </c>
      <c r="B379">
        <f t="shared" ca="1" si="16"/>
        <v>-1.3916523189975072</v>
      </c>
      <c r="C379">
        <f t="shared" ca="1" si="17"/>
        <v>-0.37550261349500696</v>
      </c>
    </row>
    <row r="380" spans="1:3" x14ac:dyDescent="0.25">
      <c r="A380">
        <f t="shared" ca="1" si="15"/>
        <v>0.60689363243043337</v>
      </c>
      <c r="B380">
        <f t="shared" ca="1" si="16"/>
        <v>0.70092226204041741</v>
      </c>
      <c r="C380">
        <f t="shared" ca="1" si="17"/>
        <v>0.20517207401906215</v>
      </c>
    </row>
    <row r="381" spans="1:3" x14ac:dyDescent="0.25">
      <c r="A381">
        <f t="shared" ca="1" si="15"/>
        <v>-0.28011194463053002</v>
      </c>
      <c r="B381">
        <f t="shared" ca="1" si="16"/>
        <v>-0.11652036694582635</v>
      </c>
      <c r="C381">
        <f t="shared" ca="1" si="17"/>
        <v>-1.3127326240969133</v>
      </c>
    </row>
    <row r="382" spans="1:3" x14ac:dyDescent="0.25">
      <c r="A382">
        <f t="shared" ca="1" si="15"/>
        <v>-1.0862196342544665</v>
      </c>
      <c r="B382">
        <f t="shared" ca="1" si="16"/>
        <v>-0.53671933662455884</v>
      </c>
      <c r="C382">
        <f t="shared" ca="1" si="17"/>
        <v>1.0385127868826913</v>
      </c>
    </row>
    <row r="383" spans="1:3" x14ac:dyDescent="0.25">
      <c r="A383">
        <f t="shared" ca="1" si="15"/>
        <v>-1.142313759326347</v>
      </c>
      <c r="B383">
        <f t="shared" ca="1" si="16"/>
        <v>0.37554973685000048</v>
      </c>
      <c r="C383">
        <f t="shared" ca="1" si="17"/>
        <v>0.97916540710864353</v>
      </c>
    </row>
    <row r="384" spans="1:3" x14ac:dyDescent="0.25">
      <c r="A384">
        <f t="shared" ca="1" si="15"/>
        <v>-0.58232027146886012</v>
      </c>
      <c r="B384">
        <f t="shared" ca="1" si="16"/>
        <v>0.78220746964706267</v>
      </c>
      <c r="C384">
        <f t="shared" ca="1" si="17"/>
        <v>1.3506018944876201</v>
      </c>
    </row>
    <row r="385" spans="1:3" x14ac:dyDescent="0.25">
      <c r="A385">
        <f t="shared" ca="1" si="15"/>
        <v>7.4954665371360113E-2</v>
      </c>
      <c r="B385">
        <f t="shared" ca="1" si="16"/>
        <v>-0.7247495941245633</v>
      </c>
      <c r="C385">
        <f t="shared" ca="1" si="17"/>
        <v>0.57598004942739145</v>
      </c>
    </row>
    <row r="386" spans="1:3" x14ac:dyDescent="0.25">
      <c r="A386">
        <f t="shared" ca="1" si="15"/>
        <v>0.80001388729424838</v>
      </c>
      <c r="B386">
        <f t="shared" ca="1" si="16"/>
        <v>0.91614150910288239</v>
      </c>
      <c r="C386">
        <f t="shared" ca="1" si="17"/>
        <v>1.3307098705943283</v>
      </c>
    </row>
    <row r="387" spans="1:3" x14ac:dyDescent="0.25">
      <c r="A387">
        <f t="shared" ca="1" si="15"/>
        <v>-7.2215228739836074E-2</v>
      </c>
      <c r="B387">
        <f t="shared" ca="1" si="16"/>
        <v>-8.445190579232531E-2</v>
      </c>
      <c r="C387">
        <f t="shared" ca="1" si="17"/>
        <v>-0.65710811535393543</v>
      </c>
    </row>
    <row r="388" spans="1:3" x14ac:dyDescent="0.25">
      <c r="A388">
        <f t="shared" ca="1" si="15"/>
        <v>-0.87125450253784542</v>
      </c>
      <c r="B388">
        <f t="shared" ca="1" si="16"/>
        <v>-1.4041672020635039</v>
      </c>
      <c r="C388">
        <f t="shared" ca="1" si="17"/>
        <v>-0.42881528449786943</v>
      </c>
    </row>
    <row r="389" spans="1:3" x14ac:dyDescent="0.25">
      <c r="A389">
        <f t="shared" ca="1" si="15"/>
        <v>-0.76064456488647414</v>
      </c>
      <c r="B389">
        <f t="shared" ca="1" si="16"/>
        <v>-0.27247146467907762</v>
      </c>
      <c r="C389">
        <f t="shared" ca="1" si="17"/>
        <v>-1.2858248751830901</v>
      </c>
    </row>
    <row r="390" spans="1:3" x14ac:dyDescent="0.25">
      <c r="A390">
        <f t="shared" ref="A390:A453" ca="1" si="18">NORMSINV(RAND())</f>
        <v>-0.60934776871908092</v>
      </c>
      <c r="B390">
        <f t="shared" ref="B390:B453" ca="1" si="19">A390*SQRT($B$2)+SQRT(1-$B$2)*NORMSINV(RAND())</f>
        <v>-1.6314819238066638</v>
      </c>
      <c r="C390">
        <f t="shared" ref="C390:C453" ca="1" si="20">A390*SQRT($B$2)+SQRT(1-$B$2)*NORMSINV(RAND())</f>
        <v>2.9980147718566053E-2</v>
      </c>
    </row>
    <row r="391" spans="1:3" x14ac:dyDescent="0.25">
      <c r="A391">
        <f t="shared" ca="1" si="18"/>
        <v>0.12904462979628203</v>
      </c>
      <c r="B391">
        <f t="shared" ca="1" si="19"/>
        <v>0.7822707502264532</v>
      </c>
      <c r="C391">
        <f t="shared" ca="1" si="20"/>
        <v>-0.80941871099941598</v>
      </c>
    </row>
    <row r="392" spans="1:3" x14ac:dyDescent="0.25">
      <c r="A392">
        <f t="shared" ca="1" si="18"/>
        <v>0.525878333038724</v>
      </c>
      <c r="B392">
        <f t="shared" ca="1" si="19"/>
        <v>-0.42354438389946431</v>
      </c>
      <c r="C392">
        <f t="shared" ca="1" si="20"/>
        <v>0.74547808830225226</v>
      </c>
    </row>
    <row r="393" spans="1:3" x14ac:dyDescent="0.25">
      <c r="A393">
        <f t="shared" ca="1" si="18"/>
        <v>0.17368394290668396</v>
      </c>
      <c r="B393">
        <f t="shared" ca="1" si="19"/>
        <v>-1.9252802490091384E-2</v>
      </c>
      <c r="C393">
        <f t="shared" ca="1" si="20"/>
        <v>-0.97724527833414143</v>
      </c>
    </row>
    <row r="394" spans="1:3" x14ac:dyDescent="0.25">
      <c r="A394">
        <f t="shared" ca="1" si="18"/>
        <v>0.42127810501390839</v>
      </c>
      <c r="B394">
        <f t="shared" ca="1" si="19"/>
        <v>-3.2354648854689139E-2</v>
      </c>
      <c r="C394">
        <f t="shared" ca="1" si="20"/>
        <v>0.57770498402327874</v>
      </c>
    </row>
    <row r="395" spans="1:3" x14ac:dyDescent="0.25">
      <c r="A395">
        <f t="shared" ca="1" si="18"/>
        <v>0.83389020590242668</v>
      </c>
      <c r="B395">
        <f t="shared" ca="1" si="19"/>
        <v>1.3495769197832965</v>
      </c>
      <c r="C395">
        <f t="shared" ca="1" si="20"/>
        <v>0.27347493477705037</v>
      </c>
    </row>
    <row r="396" spans="1:3" x14ac:dyDescent="0.25">
      <c r="A396">
        <f t="shared" ca="1" si="18"/>
        <v>0.7944603446387235</v>
      </c>
      <c r="B396">
        <f t="shared" ca="1" si="19"/>
        <v>1.0891628712422246</v>
      </c>
      <c r="C396">
        <f t="shared" ca="1" si="20"/>
        <v>-0.34459160430897295</v>
      </c>
    </row>
    <row r="397" spans="1:3" x14ac:dyDescent="0.25">
      <c r="A397">
        <f t="shared" ca="1" si="18"/>
        <v>0.78063960614014494</v>
      </c>
      <c r="B397">
        <f t="shared" ca="1" si="19"/>
        <v>1.7992162865026224</v>
      </c>
      <c r="C397">
        <f t="shared" ca="1" si="20"/>
        <v>-0.70027541580715924</v>
      </c>
    </row>
    <row r="398" spans="1:3" x14ac:dyDescent="0.25">
      <c r="A398">
        <f t="shared" ca="1" si="18"/>
        <v>0.22236241364628467</v>
      </c>
      <c r="B398">
        <f t="shared" ca="1" si="19"/>
        <v>-0.2552548267425897</v>
      </c>
      <c r="C398">
        <f t="shared" ca="1" si="20"/>
        <v>0.21362542209297453</v>
      </c>
    </row>
    <row r="399" spans="1:3" x14ac:dyDescent="0.25">
      <c r="A399">
        <f t="shared" ca="1" si="18"/>
        <v>-0.72066842848517132</v>
      </c>
      <c r="B399">
        <f t="shared" ca="1" si="19"/>
        <v>-0.33939757079028265</v>
      </c>
      <c r="C399">
        <f t="shared" ca="1" si="20"/>
        <v>-1.2995214842044494</v>
      </c>
    </row>
    <row r="400" spans="1:3" x14ac:dyDescent="0.25">
      <c r="A400">
        <f t="shared" ca="1" si="18"/>
        <v>-2.6307529375628937</v>
      </c>
      <c r="B400">
        <f t="shared" ca="1" si="19"/>
        <v>-2.0262694920971618</v>
      </c>
      <c r="C400">
        <f t="shared" ca="1" si="20"/>
        <v>-1.4221364375696997</v>
      </c>
    </row>
    <row r="401" spans="1:3" x14ac:dyDescent="0.25">
      <c r="A401">
        <f t="shared" ca="1" si="18"/>
        <v>2.3944091264568087E-3</v>
      </c>
      <c r="B401">
        <f t="shared" ca="1" si="19"/>
        <v>0.53785003475871507</v>
      </c>
      <c r="C401">
        <f t="shared" ca="1" si="20"/>
        <v>0.90340378707449609</v>
      </c>
    </row>
    <row r="402" spans="1:3" x14ac:dyDescent="0.25">
      <c r="A402">
        <f t="shared" ca="1" si="18"/>
        <v>1.3153366152582147</v>
      </c>
      <c r="B402">
        <f t="shared" ca="1" si="19"/>
        <v>0.17866899345366849</v>
      </c>
      <c r="C402">
        <f t="shared" ca="1" si="20"/>
        <v>1.5941406867597072</v>
      </c>
    </row>
    <row r="403" spans="1:3" x14ac:dyDescent="0.25">
      <c r="A403">
        <f t="shared" ca="1" si="18"/>
        <v>-0.74819163621161533</v>
      </c>
      <c r="B403">
        <f t="shared" ca="1" si="19"/>
        <v>-1.0343907894578335</v>
      </c>
      <c r="C403">
        <f t="shared" ca="1" si="20"/>
        <v>-0.70681344081840247</v>
      </c>
    </row>
    <row r="404" spans="1:3" x14ac:dyDescent="0.25">
      <c r="A404">
        <f t="shared" ca="1" si="18"/>
        <v>1.2744633183212779</v>
      </c>
      <c r="B404">
        <f t="shared" ca="1" si="19"/>
        <v>1.4572761770329343</v>
      </c>
      <c r="C404">
        <f t="shared" ca="1" si="20"/>
        <v>0.72045232705995166</v>
      </c>
    </row>
    <row r="405" spans="1:3" x14ac:dyDescent="0.25">
      <c r="A405">
        <f t="shared" ca="1" si="18"/>
        <v>-7.7014794090164748E-2</v>
      </c>
      <c r="B405">
        <f t="shared" ca="1" si="19"/>
        <v>-0.39164439746323965</v>
      </c>
      <c r="C405">
        <f t="shared" ca="1" si="20"/>
        <v>0.11740881306667245</v>
      </c>
    </row>
    <row r="406" spans="1:3" x14ac:dyDescent="0.25">
      <c r="A406">
        <f t="shared" ca="1" si="18"/>
        <v>-2.2788375994092855</v>
      </c>
      <c r="B406">
        <f t="shared" ca="1" si="19"/>
        <v>-2.2333055668379314</v>
      </c>
      <c r="C406">
        <f t="shared" ca="1" si="20"/>
        <v>-3.792237699219065</v>
      </c>
    </row>
    <row r="407" spans="1:3" x14ac:dyDescent="0.25">
      <c r="A407">
        <f t="shared" ca="1" si="18"/>
        <v>-0.13534828503621663</v>
      </c>
      <c r="B407">
        <f t="shared" ca="1" si="19"/>
        <v>6.2481314048590947E-2</v>
      </c>
      <c r="C407">
        <f t="shared" ca="1" si="20"/>
        <v>-1.8156967283709885E-2</v>
      </c>
    </row>
    <row r="408" spans="1:3" x14ac:dyDescent="0.25">
      <c r="A408">
        <f t="shared" ca="1" si="18"/>
        <v>0.44537195901682336</v>
      </c>
      <c r="B408">
        <f t="shared" ca="1" si="19"/>
        <v>0.93948888102287664</v>
      </c>
      <c r="C408">
        <f t="shared" ca="1" si="20"/>
        <v>1.3214149855337776</v>
      </c>
    </row>
    <row r="409" spans="1:3" x14ac:dyDescent="0.25">
      <c r="A409">
        <f t="shared" ca="1" si="18"/>
        <v>-0.43985670865698512</v>
      </c>
      <c r="B409">
        <f t="shared" ca="1" si="19"/>
        <v>-9.0806994182282885E-2</v>
      </c>
      <c r="C409">
        <f t="shared" ca="1" si="20"/>
        <v>-0.92419201532279072</v>
      </c>
    </row>
    <row r="410" spans="1:3" x14ac:dyDescent="0.25">
      <c r="A410">
        <f t="shared" ca="1" si="18"/>
        <v>1.1707337484013161</v>
      </c>
      <c r="B410">
        <f t="shared" ca="1" si="19"/>
        <v>1.7976200787222154</v>
      </c>
      <c r="C410">
        <f t="shared" ca="1" si="20"/>
        <v>0.6457042567634983</v>
      </c>
    </row>
    <row r="411" spans="1:3" x14ac:dyDescent="0.25">
      <c r="A411">
        <f t="shared" ca="1" si="18"/>
        <v>1.6408916249926715</v>
      </c>
      <c r="B411">
        <f t="shared" ca="1" si="19"/>
        <v>1.6644023811096178</v>
      </c>
      <c r="C411">
        <f t="shared" ca="1" si="20"/>
        <v>0.84201587785914889</v>
      </c>
    </row>
    <row r="412" spans="1:3" x14ac:dyDescent="0.25">
      <c r="A412">
        <f t="shared" ca="1" si="18"/>
        <v>-0.70058265720713053</v>
      </c>
      <c r="B412">
        <f t="shared" ca="1" si="19"/>
        <v>-0.76273080775448321</v>
      </c>
      <c r="C412">
        <f t="shared" ca="1" si="20"/>
        <v>-0.78971514819557875</v>
      </c>
    </row>
    <row r="413" spans="1:3" x14ac:dyDescent="0.25">
      <c r="A413">
        <f t="shared" ca="1" si="18"/>
        <v>-1.5975762296752678</v>
      </c>
      <c r="B413">
        <f t="shared" ca="1" si="19"/>
        <v>-1.1556268041016216</v>
      </c>
      <c r="C413">
        <f t="shared" ca="1" si="20"/>
        <v>-0.33882038693563443</v>
      </c>
    </row>
    <row r="414" spans="1:3" x14ac:dyDescent="0.25">
      <c r="A414">
        <f t="shared" ca="1" si="18"/>
        <v>1.9209692501132818</v>
      </c>
      <c r="B414">
        <f t="shared" ca="1" si="19"/>
        <v>0.77852404534641639</v>
      </c>
      <c r="C414">
        <f t="shared" ca="1" si="20"/>
        <v>1.3576894147284575</v>
      </c>
    </row>
    <row r="415" spans="1:3" x14ac:dyDescent="0.25">
      <c r="A415">
        <f t="shared" ca="1" si="18"/>
        <v>-0.19492589818269002</v>
      </c>
      <c r="B415">
        <f t="shared" ca="1" si="19"/>
        <v>6.3255537140731566E-2</v>
      </c>
      <c r="C415">
        <f t="shared" ca="1" si="20"/>
        <v>1.2807446871992525</v>
      </c>
    </row>
    <row r="416" spans="1:3" x14ac:dyDescent="0.25">
      <c r="A416">
        <f t="shared" ca="1" si="18"/>
        <v>0.63185911738764078</v>
      </c>
      <c r="B416">
        <f t="shared" ca="1" si="19"/>
        <v>0.80770650486684215</v>
      </c>
      <c r="C416">
        <f t="shared" ca="1" si="20"/>
        <v>0.18558075986817713</v>
      </c>
    </row>
    <row r="417" spans="1:3" x14ac:dyDescent="0.25">
      <c r="A417">
        <f t="shared" ca="1" si="18"/>
        <v>-1.5300295374186494</v>
      </c>
      <c r="B417">
        <f t="shared" ca="1" si="19"/>
        <v>-1.1577006929727938</v>
      </c>
      <c r="C417">
        <f t="shared" ca="1" si="20"/>
        <v>-1.003299084884008</v>
      </c>
    </row>
    <row r="418" spans="1:3" x14ac:dyDescent="0.25">
      <c r="A418">
        <f t="shared" ca="1" si="18"/>
        <v>4.5430826173491982E-3</v>
      </c>
      <c r="B418">
        <f t="shared" ca="1" si="19"/>
        <v>0.98576128342825742</v>
      </c>
      <c r="C418">
        <f t="shared" ca="1" si="20"/>
        <v>1.0886990106316519</v>
      </c>
    </row>
    <row r="419" spans="1:3" x14ac:dyDescent="0.25">
      <c r="A419">
        <f t="shared" ca="1" si="18"/>
        <v>-0.13140927316395959</v>
      </c>
      <c r="B419">
        <f t="shared" ca="1" si="19"/>
        <v>0.40584826204418362</v>
      </c>
      <c r="C419">
        <f t="shared" ca="1" si="20"/>
        <v>-0.81392932160268638</v>
      </c>
    </row>
    <row r="420" spans="1:3" x14ac:dyDescent="0.25">
      <c r="A420">
        <f t="shared" ca="1" si="18"/>
        <v>0.63737040004996925</v>
      </c>
      <c r="B420">
        <f t="shared" ca="1" si="19"/>
        <v>-0.46721400857218903</v>
      </c>
      <c r="C420">
        <f t="shared" ca="1" si="20"/>
        <v>0.61679925195263552</v>
      </c>
    </row>
    <row r="421" spans="1:3" x14ac:dyDescent="0.25">
      <c r="A421">
        <f t="shared" ca="1" si="18"/>
        <v>2.3609673422442556</v>
      </c>
      <c r="B421">
        <f t="shared" ca="1" si="19"/>
        <v>2.192330097935379</v>
      </c>
      <c r="C421">
        <f t="shared" ca="1" si="20"/>
        <v>2.4660171690398682</v>
      </c>
    </row>
    <row r="422" spans="1:3" x14ac:dyDescent="0.25">
      <c r="A422">
        <f t="shared" ca="1" si="18"/>
        <v>1.0799402280057688</v>
      </c>
      <c r="B422">
        <f t="shared" ca="1" si="19"/>
        <v>1.1186135969982358</v>
      </c>
      <c r="C422">
        <f t="shared" ca="1" si="20"/>
        <v>0.56298111847375232</v>
      </c>
    </row>
    <row r="423" spans="1:3" x14ac:dyDescent="0.25">
      <c r="A423">
        <f t="shared" ca="1" si="18"/>
        <v>-1.2878688223004995</v>
      </c>
      <c r="B423">
        <f t="shared" ca="1" si="19"/>
        <v>-2.0942168098863325</v>
      </c>
      <c r="C423">
        <f t="shared" ca="1" si="20"/>
        <v>-1.0279379636581172</v>
      </c>
    </row>
    <row r="424" spans="1:3" x14ac:dyDescent="0.25">
      <c r="A424">
        <f t="shared" ca="1" si="18"/>
        <v>-1.2826081837530612</v>
      </c>
      <c r="B424">
        <f t="shared" ca="1" si="19"/>
        <v>-0.6977182443440928</v>
      </c>
      <c r="C424">
        <f t="shared" ca="1" si="20"/>
        <v>-1.2583925063696042</v>
      </c>
    </row>
    <row r="425" spans="1:3" x14ac:dyDescent="0.25">
      <c r="A425">
        <f t="shared" ca="1" si="18"/>
        <v>-1.6840189056646671</v>
      </c>
      <c r="B425">
        <f t="shared" ca="1" si="19"/>
        <v>-0.21387178848069843</v>
      </c>
      <c r="C425">
        <f t="shared" ca="1" si="20"/>
        <v>-1.0377860296421604</v>
      </c>
    </row>
    <row r="426" spans="1:3" x14ac:dyDescent="0.25">
      <c r="A426">
        <f t="shared" ca="1" si="18"/>
        <v>0.6219270025369984</v>
      </c>
      <c r="B426">
        <f t="shared" ca="1" si="19"/>
        <v>7.1407196673341555E-2</v>
      </c>
      <c r="C426">
        <f t="shared" ca="1" si="20"/>
        <v>0.68221001095315981</v>
      </c>
    </row>
    <row r="427" spans="1:3" x14ac:dyDescent="0.25">
      <c r="A427">
        <f t="shared" ca="1" si="18"/>
        <v>-0.16357993620325575</v>
      </c>
      <c r="B427">
        <f t="shared" ca="1" si="19"/>
        <v>0.34499818871824506</v>
      </c>
      <c r="C427">
        <f t="shared" ca="1" si="20"/>
        <v>-1.1889505728926488</v>
      </c>
    </row>
    <row r="428" spans="1:3" x14ac:dyDescent="0.25">
      <c r="A428">
        <f t="shared" ca="1" si="18"/>
        <v>2.6427408674291923</v>
      </c>
      <c r="B428">
        <f t="shared" ca="1" si="19"/>
        <v>0.48354062342246684</v>
      </c>
      <c r="C428">
        <f t="shared" ca="1" si="20"/>
        <v>1.6394424487236128</v>
      </c>
    </row>
    <row r="429" spans="1:3" x14ac:dyDescent="0.25">
      <c r="A429">
        <f t="shared" ca="1" si="18"/>
        <v>-0.33746747164104884</v>
      </c>
      <c r="B429">
        <f t="shared" ca="1" si="19"/>
        <v>-0.32564971459545461</v>
      </c>
      <c r="C429">
        <f t="shared" ca="1" si="20"/>
        <v>0.1700805746422358</v>
      </c>
    </row>
    <row r="430" spans="1:3" x14ac:dyDescent="0.25">
      <c r="A430">
        <f t="shared" ca="1" si="18"/>
        <v>1.0128272947917665</v>
      </c>
      <c r="B430">
        <f t="shared" ca="1" si="19"/>
        <v>0.28490215555298692</v>
      </c>
      <c r="C430">
        <f t="shared" ca="1" si="20"/>
        <v>1.4680168206221631</v>
      </c>
    </row>
    <row r="431" spans="1:3" x14ac:dyDescent="0.25">
      <c r="A431">
        <f t="shared" ca="1" si="18"/>
        <v>-0.26928163181398068</v>
      </c>
      <c r="B431">
        <f t="shared" ca="1" si="19"/>
        <v>0.69175716218000405</v>
      </c>
      <c r="C431">
        <f t="shared" ca="1" si="20"/>
        <v>0.34317972206193403</v>
      </c>
    </row>
    <row r="432" spans="1:3" x14ac:dyDescent="0.25">
      <c r="A432">
        <f t="shared" ca="1" si="18"/>
        <v>-2.2386609273822677</v>
      </c>
      <c r="B432">
        <f t="shared" ca="1" si="19"/>
        <v>-1.4009352448950996</v>
      </c>
      <c r="C432">
        <f t="shared" ca="1" si="20"/>
        <v>-2.4735582183308416</v>
      </c>
    </row>
    <row r="433" spans="1:3" x14ac:dyDescent="0.25">
      <c r="A433">
        <f t="shared" ca="1" si="18"/>
        <v>-1.1111304330562339</v>
      </c>
      <c r="B433">
        <f t="shared" ca="1" si="19"/>
        <v>6.7363942674357968E-2</v>
      </c>
      <c r="C433">
        <f t="shared" ca="1" si="20"/>
        <v>-1.2867921984110144</v>
      </c>
    </row>
    <row r="434" spans="1:3" x14ac:dyDescent="0.25">
      <c r="A434">
        <f t="shared" ca="1" si="18"/>
        <v>-0.20922547536641764</v>
      </c>
      <c r="B434">
        <f t="shared" ca="1" si="19"/>
        <v>0.16238625766738077</v>
      </c>
      <c r="C434">
        <f t="shared" ca="1" si="20"/>
        <v>1.6387371539770483</v>
      </c>
    </row>
    <row r="435" spans="1:3" x14ac:dyDescent="0.25">
      <c r="A435">
        <f t="shared" ca="1" si="18"/>
        <v>-2.5093553217808814E-2</v>
      </c>
      <c r="B435">
        <f t="shared" ca="1" si="19"/>
        <v>-0.34290445233218286</v>
      </c>
      <c r="C435">
        <f t="shared" ca="1" si="20"/>
        <v>-1.4123170794276199</v>
      </c>
    </row>
    <row r="436" spans="1:3" x14ac:dyDescent="0.25">
      <c r="A436">
        <f t="shared" ca="1" si="18"/>
        <v>-1.2549200052987524</v>
      </c>
      <c r="B436">
        <f t="shared" ca="1" si="19"/>
        <v>-1.8054195385190239</v>
      </c>
      <c r="C436">
        <f t="shared" ca="1" si="20"/>
        <v>-1.5931728149777666</v>
      </c>
    </row>
    <row r="437" spans="1:3" x14ac:dyDescent="0.25">
      <c r="A437">
        <f t="shared" ca="1" si="18"/>
        <v>0.81891150366597054</v>
      </c>
      <c r="B437">
        <f t="shared" ca="1" si="19"/>
        <v>0.33948322301516076</v>
      </c>
      <c r="C437">
        <f t="shared" ca="1" si="20"/>
        <v>0.86912348395867056</v>
      </c>
    </row>
    <row r="438" spans="1:3" x14ac:dyDescent="0.25">
      <c r="A438">
        <f t="shared" ca="1" si="18"/>
        <v>-0.39386813713291868</v>
      </c>
      <c r="B438">
        <f t="shared" ca="1" si="19"/>
        <v>-0.72356544750369611</v>
      </c>
      <c r="C438">
        <f t="shared" ca="1" si="20"/>
        <v>-1.2517997520818684</v>
      </c>
    </row>
    <row r="439" spans="1:3" x14ac:dyDescent="0.25">
      <c r="A439">
        <f t="shared" ca="1" si="18"/>
        <v>-0.45314757659171251</v>
      </c>
      <c r="B439">
        <f t="shared" ca="1" si="19"/>
        <v>-1.1943717779064866</v>
      </c>
      <c r="C439">
        <f t="shared" ca="1" si="20"/>
        <v>-0.96690475282572241</v>
      </c>
    </row>
    <row r="440" spans="1:3" x14ac:dyDescent="0.25">
      <c r="A440">
        <f t="shared" ca="1" si="18"/>
        <v>1.6022358896128424</v>
      </c>
      <c r="B440">
        <f t="shared" ca="1" si="19"/>
        <v>-0.51305330922244941</v>
      </c>
      <c r="C440">
        <f t="shared" ca="1" si="20"/>
        <v>0.63317515307134253</v>
      </c>
    </row>
    <row r="441" spans="1:3" x14ac:dyDescent="0.25">
      <c r="A441">
        <f t="shared" ca="1" si="18"/>
        <v>-5.661476774778125E-2</v>
      </c>
      <c r="B441">
        <f t="shared" ca="1" si="19"/>
        <v>0.71235076006957054</v>
      </c>
      <c r="C441">
        <f t="shared" ca="1" si="20"/>
        <v>0.16698465139754348</v>
      </c>
    </row>
    <row r="442" spans="1:3" x14ac:dyDescent="0.25">
      <c r="A442">
        <f t="shared" ca="1" si="18"/>
        <v>0.21692713503323871</v>
      </c>
      <c r="B442">
        <f t="shared" ca="1" si="19"/>
        <v>0.27022502932080705</v>
      </c>
      <c r="C442">
        <f t="shared" ca="1" si="20"/>
        <v>0.13411240980466516</v>
      </c>
    </row>
    <row r="443" spans="1:3" x14ac:dyDescent="0.25">
      <c r="A443">
        <f t="shared" ca="1" si="18"/>
        <v>-0.39869174019313686</v>
      </c>
      <c r="B443">
        <f t="shared" ca="1" si="19"/>
        <v>0.16556365450985505</v>
      </c>
      <c r="C443">
        <f t="shared" ca="1" si="20"/>
        <v>0.59458617294044491</v>
      </c>
    </row>
    <row r="444" spans="1:3" x14ac:dyDescent="0.25">
      <c r="A444">
        <f t="shared" ca="1" si="18"/>
        <v>-0.33965510202478144</v>
      </c>
      <c r="B444">
        <f t="shared" ca="1" si="19"/>
        <v>0.11700202102715387</v>
      </c>
      <c r="C444">
        <f t="shared" ca="1" si="20"/>
        <v>-0.67182371807469998</v>
      </c>
    </row>
    <row r="445" spans="1:3" x14ac:dyDescent="0.25">
      <c r="A445">
        <f t="shared" ca="1" si="18"/>
        <v>-2.0118327069563149E-2</v>
      </c>
      <c r="B445">
        <f t="shared" ca="1" si="19"/>
        <v>-0.38290324902967104</v>
      </c>
      <c r="C445">
        <f t="shared" ca="1" si="20"/>
        <v>5.1487284296676879E-2</v>
      </c>
    </row>
    <row r="446" spans="1:3" x14ac:dyDescent="0.25">
      <c r="A446">
        <f t="shared" ca="1" si="18"/>
        <v>-0.61452799590832108</v>
      </c>
      <c r="B446">
        <f t="shared" ca="1" si="19"/>
        <v>0.77432317338440848</v>
      </c>
      <c r="C446">
        <f t="shared" ca="1" si="20"/>
        <v>0.58498643603722678</v>
      </c>
    </row>
    <row r="447" spans="1:3" x14ac:dyDescent="0.25">
      <c r="A447">
        <f t="shared" ca="1" si="18"/>
        <v>0.92214307729376477</v>
      </c>
      <c r="B447">
        <f t="shared" ca="1" si="19"/>
        <v>2.6184064653181904E-2</v>
      </c>
      <c r="C447">
        <f t="shared" ca="1" si="20"/>
        <v>1.2255183764611774</v>
      </c>
    </row>
    <row r="448" spans="1:3" x14ac:dyDescent="0.25">
      <c r="A448">
        <f t="shared" ca="1" si="18"/>
        <v>-0.30036861552037436</v>
      </c>
      <c r="B448">
        <f t="shared" ca="1" si="19"/>
        <v>-0.62165955295950992</v>
      </c>
      <c r="C448">
        <f t="shared" ca="1" si="20"/>
        <v>-0.44767368775730226</v>
      </c>
    </row>
    <row r="449" spans="1:3" x14ac:dyDescent="0.25">
      <c r="A449">
        <f t="shared" ca="1" si="18"/>
        <v>0.52301200972826656</v>
      </c>
      <c r="B449">
        <f t="shared" ca="1" si="19"/>
        <v>-0.26023980339184705</v>
      </c>
      <c r="C449">
        <f t="shared" ca="1" si="20"/>
        <v>-0.14790130806642321</v>
      </c>
    </row>
    <row r="450" spans="1:3" x14ac:dyDescent="0.25">
      <c r="A450">
        <f t="shared" ca="1" si="18"/>
        <v>-1.3804779305236594</v>
      </c>
      <c r="B450">
        <f t="shared" ca="1" si="19"/>
        <v>-0.4115532378659823</v>
      </c>
      <c r="C450">
        <f t="shared" ca="1" si="20"/>
        <v>-2.6419091584249417</v>
      </c>
    </row>
    <row r="451" spans="1:3" x14ac:dyDescent="0.25">
      <c r="A451">
        <f t="shared" ca="1" si="18"/>
        <v>0.18428104729707548</v>
      </c>
      <c r="B451">
        <f t="shared" ca="1" si="19"/>
        <v>0.4090382374484185</v>
      </c>
      <c r="C451">
        <f t="shared" ca="1" si="20"/>
        <v>0.88331914512247534</v>
      </c>
    </row>
    <row r="452" spans="1:3" x14ac:dyDescent="0.25">
      <c r="A452">
        <f t="shared" ca="1" si="18"/>
        <v>0.89831431329275158</v>
      </c>
      <c r="B452">
        <f t="shared" ca="1" si="19"/>
        <v>-0.49937588646299857</v>
      </c>
      <c r="C452">
        <f t="shared" ca="1" si="20"/>
        <v>0.24239489645923906</v>
      </c>
    </row>
    <row r="453" spans="1:3" x14ac:dyDescent="0.25">
      <c r="A453">
        <f t="shared" ca="1" si="18"/>
        <v>-7.3001516587518786E-2</v>
      </c>
      <c r="B453">
        <f t="shared" ca="1" si="19"/>
        <v>0.90023409708768209</v>
      </c>
      <c r="C453">
        <f t="shared" ca="1" si="20"/>
        <v>0.11110811141195337</v>
      </c>
    </row>
    <row r="454" spans="1:3" x14ac:dyDescent="0.25">
      <c r="A454">
        <f t="shared" ref="A454:A517" ca="1" si="21">NORMSINV(RAND())</f>
        <v>-0.25760041527835842</v>
      </c>
      <c r="B454">
        <f t="shared" ref="B454:B517" ca="1" si="22">A454*SQRT($B$2)+SQRT(1-$B$2)*NORMSINV(RAND())</f>
        <v>-0.31651880380673975</v>
      </c>
      <c r="C454">
        <f t="shared" ref="C454:C517" ca="1" si="23">A454*SQRT($B$2)+SQRT(1-$B$2)*NORMSINV(RAND())</f>
        <v>-0.91687412731156859</v>
      </c>
    </row>
    <row r="455" spans="1:3" x14ac:dyDescent="0.25">
      <c r="A455">
        <f t="shared" ca="1" si="21"/>
        <v>-1.0126783135590764</v>
      </c>
      <c r="B455">
        <f t="shared" ca="1" si="22"/>
        <v>0.13530555781925346</v>
      </c>
      <c r="C455">
        <f t="shared" ca="1" si="23"/>
        <v>-0.99698916456042341</v>
      </c>
    </row>
    <row r="456" spans="1:3" x14ac:dyDescent="0.25">
      <c r="A456">
        <f t="shared" ca="1" si="21"/>
        <v>0.20425584822635381</v>
      </c>
      <c r="B456">
        <f t="shared" ca="1" si="22"/>
        <v>1.2670062358185563</v>
      </c>
      <c r="C456">
        <f t="shared" ca="1" si="23"/>
        <v>0.69913003134539387</v>
      </c>
    </row>
    <row r="457" spans="1:3" x14ac:dyDescent="0.25">
      <c r="A457">
        <f t="shared" ca="1" si="21"/>
        <v>-1.0476761723571997</v>
      </c>
      <c r="B457">
        <f t="shared" ca="1" si="22"/>
        <v>-5.2132547952759123E-2</v>
      </c>
      <c r="C457">
        <f t="shared" ca="1" si="23"/>
        <v>0.26035837163720787</v>
      </c>
    </row>
    <row r="458" spans="1:3" x14ac:dyDescent="0.25">
      <c r="A458">
        <f t="shared" ca="1" si="21"/>
        <v>-1.7093005050899857</v>
      </c>
      <c r="B458">
        <f t="shared" ca="1" si="22"/>
        <v>-0.38840181587492884</v>
      </c>
      <c r="C458">
        <f t="shared" ca="1" si="23"/>
        <v>-1.2971034042698741</v>
      </c>
    </row>
    <row r="459" spans="1:3" x14ac:dyDescent="0.25">
      <c r="A459">
        <f t="shared" ca="1" si="21"/>
        <v>-0.4036479422355041</v>
      </c>
      <c r="B459">
        <f t="shared" ca="1" si="22"/>
        <v>-0.5152304734781179</v>
      </c>
      <c r="C459">
        <f t="shared" ca="1" si="23"/>
        <v>-0.91539360301821482</v>
      </c>
    </row>
    <row r="460" spans="1:3" x14ac:dyDescent="0.25">
      <c r="A460">
        <f t="shared" ca="1" si="21"/>
        <v>0.7474711444258707</v>
      </c>
      <c r="B460">
        <f t="shared" ca="1" si="22"/>
        <v>1.6747662393733149</v>
      </c>
      <c r="C460">
        <f t="shared" ca="1" si="23"/>
        <v>-0.6632592467103563</v>
      </c>
    </row>
    <row r="461" spans="1:3" x14ac:dyDescent="0.25">
      <c r="A461">
        <f t="shared" ca="1" si="21"/>
        <v>0.48641560206914186</v>
      </c>
      <c r="B461">
        <f t="shared" ca="1" si="22"/>
        <v>-0.36855591037596558</v>
      </c>
      <c r="C461">
        <f t="shared" ca="1" si="23"/>
        <v>0.19620537260380067</v>
      </c>
    </row>
    <row r="462" spans="1:3" x14ac:dyDescent="0.25">
      <c r="A462">
        <f t="shared" ca="1" si="21"/>
        <v>-0.52132821630054971</v>
      </c>
      <c r="B462">
        <f t="shared" ca="1" si="22"/>
        <v>-0.80699986165188997</v>
      </c>
      <c r="C462">
        <f t="shared" ca="1" si="23"/>
        <v>-0.29925635170746878</v>
      </c>
    </row>
    <row r="463" spans="1:3" x14ac:dyDescent="0.25">
      <c r="A463">
        <f t="shared" ca="1" si="21"/>
        <v>-1.1646760535908696</v>
      </c>
      <c r="B463">
        <f t="shared" ca="1" si="22"/>
        <v>-1.0380876485312323</v>
      </c>
      <c r="C463">
        <f t="shared" ca="1" si="23"/>
        <v>-1.1231982220936187</v>
      </c>
    </row>
    <row r="464" spans="1:3" x14ac:dyDescent="0.25">
      <c r="A464">
        <f t="shared" ca="1" si="21"/>
        <v>2.9285535608322366E-2</v>
      </c>
      <c r="B464">
        <f t="shared" ca="1" si="22"/>
        <v>-4.2114255952547724E-2</v>
      </c>
      <c r="C464">
        <f t="shared" ca="1" si="23"/>
        <v>0.90450010159867567</v>
      </c>
    </row>
    <row r="465" spans="1:3" x14ac:dyDescent="0.25">
      <c r="A465">
        <f t="shared" ca="1" si="21"/>
        <v>-0.29001985872652236</v>
      </c>
      <c r="B465">
        <f t="shared" ca="1" si="22"/>
        <v>1.1252748203912435</v>
      </c>
      <c r="C465">
        <f t="shared" ca="1" si="23"/>
        <v>-0.73524689079072336</v>
      </c>
    </row>
    <row r="466" spans="1:3" x14ac:dyDescent="0.25">
      <c r="A466">
        <f t="shared" ca="1" si="21"/>
        <v>-1.6431459699955058</v>
      </c>
      <c r="B466">
        <f t="shared" ca="1" si="22"/>
        <v>-0.12002605989673754</v>
      </c>
      <c r="C466">
        <f t="shared" ca="1" si="23"/>
        <v>-0.93015637973063536</v>
      </c>
    </row>
    <row r="467" spans="1:3" x14ac:dyDescent="0.25">
      <c r="A467">
        <f t="shared" ca="1" si="21"/>
        <v>-0.1985920997593715</v>
      </c>
      <c r="B467">
        <f t="shared" ca="1" si="22"/>
        <v>-0.22184477612161546</v>
      </c>
      <c r="C467">
        <f t="shared" ca="1" si="23"/>
        <v>-0.75865028634114773</v>
      </c>
    </row>
    <row r="468" spans="1:3" x14ac:dyDescent="0.25">
      <c r="A468">
        <f t="shared" ca="1" si="21"/>
        <v>1.7776866048880018</v>
      </c>
      <c r="B468">
        <f t="shared" ca="1" si="22"/>
        <v>2.0071858433587342</v>
      </c>
      <c r="C468">
        <f t="shared" ca="1" si="23"/>
        <v>0.40621340256110672</v>
      </c>
    </row>
    <row r="469" spans="1:3" x14ac:dyDescent="0.25">
      <c r="A469">
        <f t="shared" ca="1" si="21"/>
        <v>-0.52228417610611866</v>
      </c>
      <c r="B469">
        <f t="shared" ca="1" si="22"/>
        <v>0.83473885824297356</v>
      </c>
      <c r="C469">
        <f t="shared" ca="1" si="23"/>
        <v>-0.93413586524737524</v>
      </c>
    </row>
    <row r="470" spans="1:3" x14ac:dyDescent="0.25">
      <c r="A470">
        <f t="shared" ca="1" si="21"/>
        <v>-0.52292724120262968</v>
      </c>
      <c r="B470">
        <f t="shared" ca="1" si="22"/>
        <v>1.9167300160471501</v>
      </c>
      <c r="C470">
        <f t="shared" ca="1" si="23"/>
        <v>8.0139371145879823E-2</v>
      </c>
    </row>
    <row r="471" spans="1:3" x14ac:dyDescent="0.25">
      <c r="A471">
        <f t="shared" ca="1" si="21"/>
        <v>-1.7935976708070545</v>
      </c>
      <c r="B471">
        <f t="shared" ca="1" si="22"/>
        <v>-1.5998581720802132</v>
      </c>
      <c r="C471">
        <f t="shared" ca="1" si="23"/>
        <v>-1.9612597892702432</v>
      </c>
    </row>
    <row r="472" spans="1:3" x14ac:dyDescent="0.25">
      <c r="A472">
        <f t="shared" ca="1" si="21"/>
        <v>0.56425613696046051</v>
      </c>
      <c r="B472">
        <f t="shared" ca="1" si="22"/>
        <v>-6.4210873832093895E-2</v>
      </c>
      <c r="C472">
        <f t="shared" ca="1" si="23"/>
        <v>-0.9680468655863701</v>
      </c>
    </row>
    <row r="473" spans="1:3" x14ac:dyDescent="0.25">
      <c r="A473">
        <f t="shared" ca="1" si="21"/>
        <v>1.3567735471545648</v>
      </c>
      <c r="B473">
        <f t="shared" ca="1" si="22"/>
        <v>1.2377256467663176</v>
      </c>
      <c r="C473">
        <f t="shared" ca="1" si="23"/>
        <v>1.8197650383934976</v>
      </c>
    </row>
    <row r="474" spans="1:3" x14ac:dyDescent="0.25">
      <c r="A474">
        <f t="shared" ca="1" si="21"/>
        <v>-0.30869529676219021</v>
      </c>
      <c r="B474">
        <f t="shared" ca="1" si="22"/>
        <v>-3.7826707879101917E-2</v>
      </c>
      <c r="C474">
        <f t="shared" ca="1" si="23"/>
        <v>-0.34382699441151776</v>
      </c>
    </row>
    <row r="475" spans="1:3" x14ac:dyDescent="0.25">
      <c r="A475">
        <f t="shared" ca="1" si="21"/>
        <v>0.28323183891110437</v>
      </c>
      <c r="B475">
        <f t="shared" ca="1" si="22"/>
        <v>-0.43536228553241535</v>
      </c>
      <c r="C475">
        <f t="shared" ca="1" si="23"/>
        <v>-7.6761632077399722E-2</v>
      </c>
    </row>
    <row r="476" spans="1:3" x14ac:dyDescent="0.25">
      <c r="A476">
        <f t="shared" ca="1" si="21"/>
        <v>-0.91576332236476388</v>
      </c>
      <c r="B476">
        <f t="shared" ca="1" si="22"/>
        <v>-2.1435468319619178E-2</v>
      </c>
      <c r="C476">
        <f t="shared" ca="1" si="23"/>
        <v>-0.74398450811802419</v>
      </c>
    </row>
    <row r="477" spans="1:3" x14ac:dyDescent="0.25">
      <c r="A477">
        <f t="shared" ca="1" si="21"/>
        <v>0.17327832614812302</v>
      </c>
      <c r="B477">
        <f t="shared" ca="1" si="22"/>
        <v>0.4468100158270108</v>
      </c>
      <c r="C477">
        <f t="shared" ca="1" si="23"/>
        <v>1.1559656913574925</v>
      </c>
    </row>
    <row r="478" spans="1:3" x14ac:dyDescent="0.25">
      <c r="A478">
        <f t="shared" ca="1" si="21"/>
        <v>0.21094544062480802</v>
      </c>
      <c r="B478">
        <f t="shared" ca="1" si="22"/>
        <v>0.44550450976102896</v>
      </c>
      <c r="C478">
        <f t="shared" ca="1" si="23"/>
        <v>0.35586843192388273</v>
      </c>
    </row>
    <row r="479" spans="1:3" x14ac:dyDescent="0.25">
      <c r="A479">
        <f t="shared" ca="1" si="21"/>
        <v>-0.56443400318224746</v>
      </c>
      <c r="B479">
        <f t="shared" ca="1" si="22"/>
        <v>-0.69647095270203296</v>
      </c>
      <c r="C479">
        <f t="shared" ca="1" si="23"/>
        <v>-0.38034806453789155</v>
      </c>
    </row>
    <row r="480" spans="1:3" x14ac:dyDescent="0.25">
      <c r="A480">
        <f t="shared" ca="1" si="21"/>
        <v>0.77171665559117841</v>
      </c>
      <c r="B480">
        <f t="shared" ca="1" si="22"/>
        <v>0.34573191274505866</v>
      </c>
      <c r="C480">
        <f t="shared" ca="1" si="23"/>
        <v>0.17908061049364221</v>
      </c>
    </row>
    <row r="481" spans="1:3" x14ac:dyDescent="0.25">
      <c r="A481">
        <f t="shared" ca="1" si="21"/>
        <v>0.23599498066932481</v>
      </c>
      <c r="B481">
        <f t="shared" ca="1" si="22"/>
        <v>0.34246956126685546</v>
      </c>
      <c r="C481">
        <f t="shared" ca="1" si="23"/>
        <v>0.78148997476911064</v>
      </c>
    </row>
    <row r="482" spans="1:3" x14ac:dyDescent="0.25">
      <c r="A482">
        <f t="shared" ca="1" si="21"/>
        <v>0.16118314990028773</v>
      </c>
      <c r="B482">
        <f t="shared" ca="1" si="22"/>
        <v>0.18149144374687926</v>
      </c>
      <c r="C482">
        <f t="shared" ca="1" si="23"/>
        <v>0.47084921810324593</v>
      </c>
    </row>
    <row r="483" spans="1:3" x14ac:dyDescent="0.25">
      <c r="A483">
        <f t="shared" ca="1" si="21"/>
        <v>-0.26936796564324683</v>
      </c>
      <c r="B483">
        <f t="shared" ca="1" si="22"/>
        <v>-0.1337104416434596</v>
      </c>
      <c r="C483">
        <f t="shared" ca="1" si="23"/>
        <v>0.33856296271219188</v>
      </c>
    </row>
    <row r="484" spans="1:3" x14ac:dyDescent="0.25">
      <c r="A484">
        <f t="shared" ca="1" si="21"/>
        <v>7.3035660049770079E-2</v>
      </c>
      <c r="B484">
        <f t="shared" ca="1" si="22"/>
        <v>0.48594458532751783</v>
      </c>
      <c r="C484">
        <f t="shared" ca="1" si="23"/>
        <v>0.26294053338908663</v>
      </c>
    </row>
    <row r="485" spans="1:3" x14ac:dyDescent="0.25">
      <c r="A485">
        <f t="shared" ca="1" si="21"/>
        <v>1.1731005130608576</v>
      </c>
      <c r="B485">
        <f t="shared" ca="1" si="22"/>
        <v>1.5492322421507772</v>
      </c>
      <c r="C485">
        <f t="shared" ca="1" si="23"/>
        <v>0.75615644740488341</v>
      </c>
    </row>
    <row r="486" spans="1:3" x14ac:dyDescent="0.25">
      <c r="A486">
        <f t="shared" ca="1" si="21"/>
        <v>-0.69868775588101739</v>
      </c>
      <c r="B486">
        <f t="shared" ca="1" si="22"/>
        <v>-0.90518098890979704</v>
      </c>
      <c r="C486">
        <f t="shared" ca="1" si="23"/>
        <v>-9.3254278875064156E-2</v>
      </c>
    </row>
    <row r="487" spans="1:3" x14ac:dyDescent="0.25">
      <c r="A487">
        <f t="shared" ca="1" si="21"/>
        <v>0.5210463163144754</v>
      </c>
      <c r="B487">
        <f t="shared" ca="1" si="22"/>
        <v>0.63275084735213438</v>
      </c>
      <c r="C487">
        <f t="shared" ca="1" si="23"/>
        <v>1.5767099341703195</v>
      </c>
    </row>
    <row r="488" spans="1:3" x14ac:dyDescent="0.25">
      <c r="A488">
        <f t="shared" ca="1" si="21"/>
        <v>0.19422152846732624</v>
      </c>
      <c r="B488">
        <f t="shared" ca="1" si="22"/>
        <v>0.68025538919723805</v>
      </c>
      <c r="C488">
        <f t="shared" ca="1" si="23"/>
        <v>-0.75323231830802129</v>
      </c>
    </row>
    <row r="489" spans="1:3" x14ac:dyDescent="0.25">
      <c r="A489">
        <f t="shared" ca="1" si="21"/>
        <v>-2.2117663993498931</v>
      </c>
      <c r="B489">
        <f t="shared" ca="1" si="22"/>
        <v>-3.1805095438104547</v>
      </c>
      <c r="C489">
        <f t="shared" ca="1" si="23"/>
        <v>-1.1933095844831223</v>
      </c>
    </row>
    <row r="490" spans="1:3" x14ac:dyDescent="0.25">
      <c r="A490">
        <f t="shared" ca="1" si="21"/>
        <v>0.67911361747121612</v>
      </c>
      <c r="B490">
        <f t="shared" ca="1" si="22"/>
        <v>-0.60992539549569169</v>
      </c>
      <c r="C490">
        <f t="shared" ca="1" si="23"/>
        <v>0.88956415065329786</v>
      </c>
    </row>
    <row r="491" spans="1:3" x14ac:dyDescent="0.25">
      <c r="A491">
        <f t="shared" ca="1" si="21"/>
        <v>1.5222680157673429</v>
      </c>
      <c r="B491">
        <f t="shared" ca="1" si="22"/>
        <v>1.0652141365645154</v>
      </c>
      <c r="C491">
        <f t="shared" ca="1" si="23"/>
        <v>0.9218947862411897</v>
      </c>
    </row>
    <row r="492" spans="1:3" x14ac:dyDescent="0.25">
      <c r="A492">
        <f t="shared" ca="1" si="21"/>
        <v>-0.57238315022650055</v>
      </c>
      <c r="B492">
        <f t="shared" ca="1" si="22"/>
        <v>-1.2315035477346088</v>
      </c>
      <c r="C492">
        <f t="shared" ca="1" si="23"/>
        <v>0.8454451178683855</v>
      </c>
    </row>
    <row r="493" spans="1:3" x14ac:dyDescent="0.25">
      <c r="A493">
        <f t="shared" ca="1" si="21"/>
        <v>-1.1890048130893762</v>
      </c>
      <c r="B493">
        <f t="shared" ca="1" si="22"/>
        <v>0.37593740808410092</v>
      </c>
      <c r="C493">
        <f t="shared" ca="1" si="23"/>
        <v>0.1379504159466679</v>
      </c>
    </row>
    <row r="494" spans="1:3" x14ac:dyDescent="0.25">
      <c r="A494">
        <f t="shared" ca="1" si="21"/>
        <v>9.4749714862971263E-2</v>
      </c>
      <c r="B494">
        <f t="shared" ca="1" si="22"/>
        <v>0.18970350728097038</v>
      </c>
      <c r="C494">
        <f t="shared" ca="1" si="23"/>
        <v>-0.73221844991016949</v>
      </c>
    </row>
    <row r="495" spans="1:3" x14ac:dyDescent="0.25">
      <c r="A495">
        <f t="shared" ca="1" si="21"/>
        <v>0.61454996452576049</v>
      </c>
      <c r="B495">
        <f t="shared" ca="1" si="22"/>
        <v>0.37993478218842358</v>
      </c>
      <c r="C495">
        <f t="shared" ca="1" si="23"/>
        <v>0.16170695686994357</v>
      </c>
    </row>
    <row r="496" spans="1:3" x14ac:dyDescent="0.25">
      <c r="A496">
        <f t="shared" ca="1" si="21"/>
        <v>1.5260914327602031</v>
      </c>
      <c r="B496">
        <f t="shared" ca="1" si="22"/>
        <v>0.65081028853416223</v>
      </c>
      <c r="C496">
        <f t="shared" ca="1" si="23"/>
        <v>0.30971579861493559</v>
      </c>
    </row>
    <row r="497" spans="1:3" x14ac:dyDescent="0.25">
      <c r="A497">
        <f t="shared" ca="1" si="21"/>
        <v>-0.23730487610877488</v>
      </c>
      <c r="B497">
        <f t="shared" ca="1" si="22"/>
        <v>-0.7504178581239036</v>
      </c>
      <c r="C497">
        <f t="shared" ca="1" si="23"/>
        <v>-8.3725389160946906E-2</v>
      </c>
    </row>
    <row r="498" spans="1:3" x14ac:dyDescent="0.25">
      <c r="A498">
        <f t="shared" ca="1" si="21"/>
        <v>1.2122973054758948</v>
      </c>
      <c r="B498">
        <f t="shared" ca="1" si="22"/>
        <v>0.71011560452696909</v>
      </c>
      <c r="C498">
        <f t="shared" ca="1" si="23"/>
        <v>1.0449395223651106</v>
      </c>
    </row>
    <row r="499" spans="1:3" x14ac:dyDescent="0.25">
      <c r="A499">
        <f t="shared" ca="1" si="21"/>
        <v>-0.50427455289499956</v>
      </c>
      <c r="B499">
        <f t="shared" ca="1" si="22"/>
        <v>0.16909544721770903</v>
      </c>
      <c r="C499">
        <f t="shared" ca="1" si="23"/>
        <v>-0.57216957618372977</v>
      </c>
    </row>
    <row r="500" spans="1:3" x14ac:dyDescent="0.25">
      <c r="A500">
        <f t="shared" ca="1" si="21"/>
        <v>-0.795904235145942</v>
      </c>
      <c r="B500">
        <f t="shared" ca="1" si="22"/>
        <v>-0.11095787569840049</v>
      </c>
      <c r="C500">
        <f t="shared" ca="1" si="23"/>
        <v>0.51168832837908762</v>
      </c>
    </row>
    <row r="501" spans="1:3" x14ac:dyDescent="0.25">
      <c r="A501">
        <f t="shared" ca="1" si="21"/>
        <v>0.71440696640266832</v>
      </c>
      <c r="B501">
        <f t="shared" ca="1" si="22"/>
        <v>0.39057143653974269</v>
      </c>
      <c r="C501">
        <f t="shared" ca="1" si="23"/>
        <v>-0.57752854414243227</v>
      </c>
    </row>
    <row r="502" spans="1:3" x14ac:dyDescent="0.25">
      <c r="A502">
        <f t="shared" ca="1" si="21"/>
        <v>-0.3124116915514934</v>
      </c>
      <c r="B502">
        <f t="shared" ca="1" si="22"/>
        <v>6.3202550243582345E-3</v>
      </c>
      <c r="C502">
        <f t="shared" ca="1" si="23"/>
        <v>-3.7293269706607762E-2</v>
      </c>
    </row>
    <row r="503" spans="1:3" x14ac:dyDescent="0.25">
      <c r="A503">
        <f t="shared" ca="1" si="21"/>
        <v>1.2848806765236198</v>
      </c>
      <c r="B503">
        <f t="shared" ca="1" si="22"/>
        <v>0.64612733332900407</v>
      </c>
      <c r="C503">
        <f t="shared" ca="1" si="23"/>
        <v>-5.2271772880482015E-2</v>
      </c>
    </row>
    <row r="504" spans="1:3" x14ac:dyDescent="0.25">
      <c r="A504">
        <f t="shared" ca="1" si="21"/>
        <v>0.75252010251530477</v>
      </c>
      <c r="B504">
        <f t="shared" ca="1" si="22"/>
        <v>0.54023206815032776</v>
      </c>
      <c r="C504">
        <f t="shared" ca="1" si="23"/>
        <v>-1.4781812208555336</v>
      </c>
    </row>
    <row r="505" spans="1:3" x14ac:dyDescent="0.25">
      <c r="A505">
        <f t="shared" ca="1" si="21"/>
        <v>-0.61914193643574156</v>
      </c>
      <c r="B505">
        <f t="shared" ca="1" si="22"/>
        <v>-1.3316258448887224</v>
      </c>
      <c r="C505">
        <f t="shared" ca="1" si="23"/>
        <v>-0.59276323267412345</v>
      </c>
    </row>
    <row r="506" spans="1:3" x14ac:dyDescent="0.25">
      <c r="A506">
        <f t="shared" ca="1" si="21"/>
        <v>0.49313158247131422</v>
      </c>
      <c r="B506">
        <f t="shared" ca="1" si="22"/>
        <v>1.4481217706065528</v>
      </c>
      <c r="C506">
        <f t="shared" ca="1" si="23"/>
        <v>-0.22611498530809393</v>
      </c>
    </row>
    <row r="507" spans="1:3" x14ac:dyDescent="0.25">
      <c r="A507">
        <f t="shared" ca="1" si="21"/>
        <v>1.669430850385226</v>
      </c>
      <c r="B507">
        <f t="shared" ca="1" si="22"/>
        <v>0.45526519891629713</v>
      </c>
      <c r="C507">
        <f t="shared" ca="1" si="23"/>
        <v>0.9775208378953123</v>
      </c>
    </row>
    <row r="508" spans="1:3" x14ac:dyDescent="0.25">
      <c r="A508">
        <f t="shared" ca="1" si="21"/>
        <v>-0.34142929806468614</v>
      </c>
      <c r="B508">
        <f t="shared" ca="1" si="22"/>
        <v>-1.3141844553631357</v>
      </c>
      <c r="C508">
        <f t="shared" ca="1" si="23"/>
        <v>-2.6878361286363589E-2</v>
      </c>
    </row>
    <row r="509" spans="1:3" x14ac:dyDescent="0.25">
      <c r="A509">
        <f t="shared" ca="1" si="21"/>
        <v>-9.8861556428789812E-2</v>
      </c>
      <c r="B509">
        <f t="shared" ca="1" si="22"/>
        <v>-0.3820002361651253</v>
      </c>
      <c r="C509">
        <f t="shared" ca="1" si="23"/>
        <v>-1.0346532243486706</v>
      </c>
    </row>
    <row r="510" spans="1:3" x14ac:dyDescent="0.25">
      <c r="A510">
        <f t="shared" ca="1" si="21"/>
        <v>1.5130529341079817</v>
      </c>
      <c r="B510">
        <f t="shared" ca="1" si="22"/>
        <v>0.95508365296519626</v>
      </c>
      <c r="C510">
        <f t="shared" ca="1" si="23"/>
        <v>1.4218412511223688</v>
      </c>
    </row>
    <row r="511" spans="1:3" x14ac:dyDescent="0.25">
      <c r="A511">
        <f t="shared" ca="1" si="21"/>
        <v>-0.32353927999815252</v>
      </c>
      <c r="B511">
        <f t="shared" ca="1" si="22"/>
        <v>-0.87759205080399061</v>
      </c>
      <c r="C511">
        <f t="shared" ca="1" si="23"/>
        <v>1.0769715070911905</v>
      </c>
    </row>
    <row r="512" spans="1:3" x14ac:dyDescent="0.25">
      <c r="A512">
        <f t="shared" ca="1" si="21"/>
        <v>1.2535113143142382</v>
      </c>
      <c r="B512">
        <f t="shared" ca="1" si="22"/>
        <v>1.1272033308263416</v>
      </c>
      <c r="C512">
        <f t="shared" ca="1" si="23"/>
        <v>2.4298044471564437</v>
      </c>
    </row>
    <row r="513" spans="1:3" x14ac:dyDescent="0.25">
      <c r="A513">
        <f t="shared" ca="1" si="21"/>
        <v>0.37540586688295641</v>
      </c>
      <c r="B513">
        <f t="shared" ca="1" si="22"/>
        <v>7.9656037917350875E-2</v>
      </c>
      <c r="C513">
        <f t="shared" ca="1" si="23"/>
        <v>0.6944548702384421</v>
      </c>
    </row>
    <row r="514" spans="1:3" x14ac:dyDescent="0.25">
      <c r="A514">
        <f t="shared" ca="1" si="21"/>
        <v>1.0155482648638419</v>
      </c>
      <c r="B514">
        <f t="shared" ca="1" si="22"/>
        <v>0.97562386299707105</v>
      </c>
      <c r="C514">
        <f t="shared" ca="1" si="23"/>
        <v>1.1013250129781651</v>
      </c>
    </row>
    <row r="515" spans="1:3" x14ac:dyDescent="0.25">
      <c r="A515">
        <f t="shared" ca="1" si="21"/>
        <v>-0.35665771228276821</v>
      </c>
      <c r="B515">
        <f t="shared" ca="1" si="22"/>
        <v>1.5374879703714579</v>
      </c>
      <c r="C515">
        <f t="shared" ca="1" si="23"/>
        <v>-0.36268169431442049</v>
      </c>
    </row>
    <row r="516" spans="1:3" x14ac:dyDescent="0.25">
      <c r="A516">
        <f t="shared" ca="1" si="21"/>
        <v>-0.58937157827392361</v>
      </c>
      <c r="B516">
        <f t="shared" ca="1" si="22"/>
        <v>-0.2549392863392238</v>
      </c>
      <c r="C516">
        <f t="shared" ca="1" si="23"/>
        <v>-1.400017886711902</v>
      </c>
    </row>
    <row r="517" spans="1:3" x14ac:dyDescent="0.25">
      <c r="A517">
        <f t="shared" ca="1" si="21"/>
        <v>0.4523188799258932</v>
      </c>
      <c r="B517">
        <f t="shared" ca="1" si="22"/>
        <v>0.92349346911070263</v>
      </c>
      <c r="C517">
        <f t="shared" ca="1" si="23"/>
        <v>-0.42697886556453751</v>
      </c>
    </row>
    <row r="518" spans="1:3" x14ac:dyDescent="0.25">
      <c r="A518">
        <f t="shared" ref="A518:A581" ca="1" si="24">NORMSINV(RAND())</f>
        <v>-6.931967786624374E-2</v>
      </c>
      <c r="B518">
        <f t="shared" ref="B518:B581" ca="1" si="25">A518*SQRT($B$2)+SQRT(1-$B$2)*NORMSINV(RAND())</f>
        <v>2.4505684886451751</v>
      </c>
      <c r="C518">
        <f t="shared" ref="C518:C581" ca="1" si="26">A518*SQRT($B$2)+SQRT(1-$B$2)*NORMSINV(RAND())</f>
        <v>-0.18855788467507006</v>
      </c>
    </row>
    <row r="519" spans="1:3" x14ac:dyDescent="0.25">
      <c r="A519">
        <f t="shared" ca="1" si="24"/>
        <v>-1.0580268556504087</v>
      </c>
      <c r="B519">
        <f t="shared" ca="1" si="25"/>
        <v>-0.77711479176543363</v>
      </c>
      <c r="C519">
        <f t="shared" ca="1" si="26"/>
        <v>-0.27356835735430324</v>
      </c>
    </row>
    <row r="520" spans="1:3" x14ac:dyDescent="0.25">
      <c r="A520">
        <f t="shared" ca="1" si="24"/>
        <v>0.71468535260835298</v>
      </c>
      <c r="B520">
        <f t="shared" ca="1" si="25"/>
        <v>3.0266813655138707</v>
      </c>
      <c r="C520">
        <f t="shared" ca="1" si="26"/>
        <v>0.49166208172699055</v>
      </c>
    </row>
    <row r="521" spans="1:3" x14ac:dyDescent="0.25">
      <c r="A521">
        <f t="shared" ca="1" si="24"/>
        <v>-0.37871045589398267</v>
      </c>
      <c r="B521">
        <f t="shared" ca="1" si="25"/>
        <v>0.98969302820737104</v>
      </c>
      <c r="C521">
        <f t="shared" ca="1" si="26"/>
        <v>-9.8872946561481379E-2</v>
      </c>
    </row>
    <row r="522" spans="1:3" x14ac:dyDescent="0.25">
      <c r="A522">
        <f t="shared" ca="1" si="24"/>
        <v>-0.56961039548991588</v>
      </c>
      <c r="B522">
        <f t="shared" ca="1" si="25"/>
        <v>-4.5005034350935724E-2</v>
      </c>
      <c r="C522">
        <f t="shared" ca="1" si="26"/>
        <v>-0.20372038983242191</v>
      </c>
    </row>
    <row r="523" spans="1:3" x14ac:dyDescent="0.25">
      <c r="A523">
        <f t="shared" ca="1" si="24"/>
        <v>-0.37066694860819505</v>
      </c>
      <c r="B523">
        <f t="shared" ca="1" si="25"/>
        <v>-0.573715661068116</v>
      </c>
      <c r="C523">
        <f t="shared" ca="1" si="26"/>
        <v>-2.0070621474137265</v>
      </c>
    </row>
    <row r="524" spans="1:3" x14ac:dyDescent="0.25">
      <c r="A524">
        <f t="shared" ca="1" si="24"/>
        <v>-0.85206429769255987</v>
      </c>
      <c r="B524">
        <f t="shared" ca="1" si="25"/>
        <v>9.5194104675217939E-2</v>
      </c>
      <c r="C524">
        <f t="shared" ca="1" si="26"/>
        <v>0.46661420262947428</v>
      </c>
    </row>
    <row r="525" spans="1:3" x14ac:dyDescent="0.25">
      <c r="A525">
        <f t="shared" ca="1" si="24"/>
        <v>-0.83888999925941155</v>
      </c>
      <c r="B525">
        <f t="shared" ca="1" si="25"/>
        <v>-0.31042578501027335</v>
      </c>
      <c r="C525">
        <f t="shared" ca="1" si="26"/>
        <v>-0.24261878053050018</v>
      </c>
    </row>
    <row r="526" spans="1:3" x14ac:dyDescent="0.25">
      <c r="A526">
        <f t="shared" ca="1" si="24"/>
        <v>-0.9537206976754079</v>
      </c>
      <c r="B526">
        <f t="shared" ca="1" si="25"/>
        <v>0.21925051664371076</v>
      </c>
      <c r="C526">
        <f t="shared" ca="1" si="26"/>
        <v>-1.3677098250672701</v>
      </c>
    </row>
    <row r="527" spans="1:3" x14ac:dyDescent="0.25">
      <c r="A527">
        <f t="shared" ca="1" si="24"/>
        <v>-0.9701670106710989</v>
      </c>
      <c r="B527">
        <f t="shared" ca="1" si="25"/>
        <v>-0.47849735607976862</v>
      </c>
      <c r="C527">
        <f t="shared" ca="1" si="26"/>
        <v>-1.4022785680996568</v>
      </c>
    </row>
    <row r="528" spans="1:3" x14ac:dyDescent="0.25">
      <c r="A528">
        <f t="shared" ca="1" si="24"/>
        <v>-0.57709260829724129</v>
      </c>
      <c r="B528">
        <f t="shared" ca="1" si="25"/>
        <v>-0.45692769822759344</v>
      </c>
      <c r="C528">
        <f t="shared" ca="1" si="26"/>
        <v>-0.43520976195657424</v>
      </c>
    </row>
    <row r="529" spans="1:3" x14ac:dyDescent="0.25">
      <c r="A529">
        <f t="shared" ca="1" si="24"/>
        <v>-0.11791648063260113</v>
      </c>
      <c r="B529">
        <f t="shared" ca="1" si="25"/>
        <v>-2.3916209514275456E-2</v>
      </c>
      <c r="C529">
        <f t="shared" ca="1" si="26"/>
        <v>2.9490294564497074E-2</v>
      </c>
    </row>
    <row r="530" spans="1:3" x14ac:dyDescent="0.25">
      <c r="A530">
        <f t="shared" ca="1" si="24"/>
        <v>-0.66934477944173276</v>
      </c>
      <c r="B530">
        <f t="shared" ca="1" si="25"/>
        <v>-0.15722718763132637</v>
      </c>
      <c r="C530">
        <f t="shared" ca="1" si="26"/>
        <v>0.11349470409658352</v>
      </c>
    </row>
    <row r="531" spans="1:3" x14ac:dyDescent="0.25">
      <c r="A531">
        <f t="shared" ca="1" si="24"/>
        <v>-0.39264772156852767</v>
      </c>
      <c r="B531">
        <f t="shared" ca="1" si="25"/>
        <v>-1.7269878034108488</v>
      </c>
      <c r="C531">
        <f t="shared" ca="1" si="26"/>
        <v>-2.4116403306718408</v>
      </c>
    </row>
    <row r="532" spans="1:3" x14ac:dyDescent="0.25">
      <c r="A532">
        <f t="shared" ca="1" si="24"/>
        <v>-0.81768429722846692</v>
      </c>
      <c r="B532">
        <f t="shared" ca="1" si="25"/>
        <v>0.32879281328805765</v>
      </c>
      <c r="C532">
        <f t="shared" ca="1" si="26"/>
        <v>-0.59438678808660828</v>
      </c>
    </row>
    <row r="533" spans="1:3" x14ac:dyDescent="0.25">
      <c r="A533">
        <f t="shared" ca="1" si="24"/>
        <v>0.33776389229338766</v>
      </c>
      <c r="B533">
        <f t="shared" ca="1" si="25"/>
        <v>7.6559140663050695E-2</v>
      </c>
      <c r="C533">
        <f t="shared" ca="1" si="26"/>
        <v>0.70429748691933225</v>
      </c>
    </row>
    <row r="534" spans="1:3" x14ac:dyDescent="0.25">
      <c r="A534">
        <f t="shared" ca="1" si="24"/>
        <v>-1.3481688744071234</v>
      </c>
      <c r="B534">
        <f t="shared" ca="1" si="25"/>
        <v>-1.8742861023862893</v>
      </c>
      <c r="C534">
        <f t="shared" ca="1" si="26"/>
        <v>-1.0987154691211554</v>
      </c>
    </row>
    <row r="535" spans="1:3" x14ac:dyDescent="0.25">
      <c r="A535">
        <f t="shared" ca="1" si="24"/>
        <v>-0.28546758377995618</v>
      </c>
      <c r="B535">
        <f t="shared" ca="1" si="25"/>
        <v>-1.3439196204097372</v>
      </c>
      <c r="C535">
        <f t="shared" ca="1" si="26"/>
        <v>5.7647578913465641E-2</v>
      </c>
    </row>
    <row r="536" spans="1:3" x14ac:dyDescent="0.25">
      <c r="A536">
        <f t="shared" ca="1" si="24"/>
        <v>0.96485279161678028</v>
      </c>
      <c r="B536">
        <f t="shared" ca="1" si="25"/>
        <v>1.1904988369713667</v>
      </c>
      <c r="C536">
        <f t="shared" ca="1" si="26"/>
        <v>0.9347015989925711</v>
      </c>
    </row>
    <row r="537" spans="1:3" x14ac:dyDescent="0.25">
      <c r="A537">
        <f t="shared" ca="1" si="24"/>
        <v>-2.1204774969468025</v>
      </c>
      <c r="B537">
        <f t="shared" ca="1" si="25"/>
        <v>-0.61995933847603746</v>
      </c>
      <c r="C537">
        <f t="shared" ca="1" si="26"/>
        <v>-2.9184864028133548</v>
      </c>
    </row>
    <row r="538" spans="1:3" x14ac:dyDescent="0.25">
      <c r="A538">
        <f t="shared" ca="1" si="24"/>
        <v>-1.549044305493384</v>
      </c>
      <c r="B538">
        <f t="shared" ca="1" si="25"/>
        <v>-1.3915446400566891</v>
      </c>
      <c r="C538">
        <f t="shared" ca="1" si="26"/>
        <v>-1.3551611387454348</v>
      </c>
    </row>
    <row r="539" spans="1:3" x14ac:dyDescent="0.25">
      <c r="A539">
        <f t="shared" ca="1" si="24"/>
        <v>0.20342223021294453</v>
      </c>
      <c r="B539">
        <f t="shared" ca="1" si="25"/>
        <v>0.7211299341961187</v>
      </c>
      <c r="C539">
        <f t="shared" ca="1" si="26"/>
        <v>1.5173407363629032</v>
      </c>
    </row>
    <row r="540" spans="1:3" x14ac:dyDescent="0.25">
      <c r="A540">
        <f t="shared" ca="1" si="24"/>
        <v>-0.12296456762622347</v>
      </c>
      <c r="B540">
        <f t="shared" ca="1" si="25"/>
        <v>-5.6065300879947419E-2</v>
      </c>
      <c r="C540">
        <f t="shared" ca="1" si="26"/>
        <v>-1.0450320589983173</v>
      </c>
    </row>
    <row r="541" spans="1:3" x14ac:dyDescent="0.25">
      <c r="A541">
        <f t="shared" ca="1" si="24"/>
        <v>0.36887121126123135</v>
      </c>
      <c r="B541">
        <f t="shared" ca="1" si="25"/>
        <v>-0.23085580602772127</v>
      </c>
      <c r="C541">
        <f t="shared" ca="1" si="26"/>
        <v>1.9081367447633529E-2</v>
      </c>
    </row>
    <row r="542" spans="1:3" x14ac:dyDescent="0.25">
      <c r="A542">
        <f t="shared" ca="1" si="24"/>
        <v>2.8350672778290422E-2</v>
      </c>
      <c r="B542">
        <f t="shared" ca="1" si="25"/>
        <v>1.2260864226946158</v>
      </c>
      <c r="C542">
        <f t="shared" ca="1" si="26"/>
        <v>4.7811084412149915E-2</v>
      </c>
    </row>
    <row r="543" spans="1:3" x14ac:dyDescent="0.25">
      <c r="A543">
        <f t="shared" ca="1" si="24"/>
        <v>1.5999105665241296</v>
      </c>
      <c r="B543">
        <f t="shared" ca="1" si="25"/>
        <v>1.589029411806373</v>
      </c>
      <c r="C543">
        <f t="shared" ca="1" si="26"/>
        <v>1.8132729869886306</v>
      </c>
    </row>
    <row r="544" spans="1:3" x14ac:dyDescent="0.25">
      <c r="A544">
        <f t="shared" ca="1" si="24"/>
        <v>0.69522913805808129</v>
      </c>
      <c r="B544">
        <f t="shared" ca="1" si="25"/>
        <v>-0.37388982374970625</v>
      </c>
      <c r="C544">
        <f t="shared" ca="1" si="26"/>
        <v>0.48888208205794864</v>
      </c>
    </row>
    <row r="545" spans="1:3" x14ac:dyDescent="0.25">
      <c r="A545">
        <f t="shared" ca="1" si="24"/>
        <v>0.14269075332310691</v>
      </c>
      <c r="B545">
        <f t="shared" ca="1" si="25"/>
        <v>0.46726951733715361</v>
      </c>
      <c r="C545">
        <f t="shared" ca="1" si="26"/>
        <v>-0.96468917254667397</v>
      </c>
    </row>
    <row r="546" spans="1:3" x14ac:dyDescent="0.25">
      <c r="A546">
        <f t="shared" ca="1" si="24"/>
        <v>0.83110536633768084</v>
      </c>
      <c r="B546">
        <f t="shared" ca="1" si="25"/>
        <v>1.6955232621010454</v>
      </c>
      <c r="C546">
        <f t="shared" ca="1" si="26"/>
        <v>0.72904381612977009</v>
      </c>
    </row>
    <row r="547" spans="1:3" x14ac:dyDescent="0.25">
      <c r="A547">
        <f t="shared" ca="1" si="24"/>
        <v>-0.95647869424598586</v>
      </c>
      <c r="B547">
        <f t="shared" ca="1" si="25"/>
        <v>-0.88340366704877771</v>
      </c>
      <c r="C547">
        <f t="shared" ca="1" si="26"/>
        <v>-0.84120748674208801</v>
      </c>
    </row>
    <row r="548" spans="1:3" x14ac:dyDescent="0.25">
      <c r="A548">
        <f t="shared" ca="1" si="24"/>
        <v>0.59319849457942209</v>
      </c>
      <c r="B548">
        <f t="shared" ca="1" si="25"/>
        <v>0.27590446542064551</v>
      </c>
      <c r="C548">
        <f t="shared" ca="1" si="26"/>
        <v>2.0536354272886661</v>
      </c>
    </row>
    <row r="549" spans="1:3" x14ac:dyDescent="0.25">
      <c r="A549">
        <f t="shared" ca="1" si="24"/>
        <v>1.7968992061084226</v>
      </c>
      <c r="B549">
        <f t="shared" ca="1" si="25"/>
        <v>2.3147841440481915</v>
      </c>
      <c r="C549">
        <f t="shared" ca="1" si="26"/>
        <v>1.5537757139638715</v>
      </c>
    </row>
    <row r="550" spans="1:3" x14ac:dyDescent="0.25">
      <c r="A550">
        <f t="shared" ca="1" si="24"/>
        <v>0.25246533204644611</v>
      </c>
      <c r="B550">
        <f t="shared" ca="1" si="25"/>
        <v>0.86050812302713076</v>
      </c>
      <c r="C550">
        <f t="shared" ca="1" si="26"/>
        <v>1.1308587206344134</v>
      </c>
    </row>
    <row r="551" spans="1:3" x14ac:dyDescent="0.25">
      <c r="A551">
        <f t="shared" ca="1" si="24"/>
        <v>0.60549506216411531</v>
      </c>
      <c r="B551">
        <f t="shared" ca="1" si="25"/>
        <v>0.31203935545298545</v>
      </c>
      <c r="C551">
        <f t="shared" ca="1" si="26"/>
        <v>0.5084515018410023</v>
      </c>
    </row>
    <row r="552" spans="1:3" x14ac:dyDescent="0.25">
      <c r="A552">
        <f t="shared" ca="1" si="24"/>
        <v>0.2904595617796803</v>
      </c>
      <c r="B552">
        <f t="shared" ca="1" si="25"/>
        <v>-0.66950128428862055</v>
      </c>
      <c r="C552">
        <f t="shared" ca="1" si="26"/>
        <v>-0.66325702906652684</v>
      </c>
    </row>
    <row r="553" spans="1:3" x14ac:dyDescent="0.25">
      <c r="A553">
        <f t="shared" ca="1" si="24"/>
        <v>-1.3145622464360978</v>
      </c>
      <c r="B553">
        <f t="shared" ca="1" si="25"/>
        <v>-1.5060684231745038</v>
      </c>
      <c r="C553">
        <f t="shared" ca="1" si="26"/>
        <v>-1.1824613256458292</v>
      </c>
    </row>
    <row r="554" spans="1:3" x14ac:dyDescent="0.25">
      <c r="A554">
        <f t="shared" ca="1" si="24"/>
        <v>-1.3124169590675596</v>
      </c>
      <c r="B554">
        <f t="shared" ca="1" si="25"/>
        <v>-0.6770956257438886</v>
      </c>
      <c r="C554">
        <f t="shared" ca="1" si="26"/>
        <v>-1.6314648335556665</v>
      </c>
    </row>
    <row r="555" spans="1:3" x14ac:dyDescent="0.25">
      <c r="A555">
        <f t="shared" ca="1" si="24"/>
        <v>-1.4576210907960396</v>
      </c>
      <c r="B555">
        <f t="shared" ca="1" si="25"/>
        <v>-1.2312453910285934</v>
      </c>
      <c r="C555">
        <f t="shared" ca="1" si="26"/>
        <v>-1.7536721924304128</v>
      </c>
    </row>
    <row r="556" spans="1:3" x14ac:dyDescent="0.25">
      <c r="A556">
        <f t="shared" ca="1" si="24"/>
        <v>1.316560427382905</v>
      </c>
      <c r="B556">
        <f t="shared" ca="1" si="25"/>
        <v>0.66558558790757805</v>
      </c>
      <c r="C556">
        <f t="shared" ca="1" si="26"/>
        <v>0.37905867935367765</v>
      </c>
    </row>
    <row r="557" spans="1:3" x14ac:dyDescent="0.25">
      <c r="A557">
        <f t="shared" ca="1" si="24"/>
        <v>0.31208251401846049</v>
      </c>
      <c r="B557">
        <f t="shared" ca="1" si="25"/>
        <v>-0.54885555836309163</v>
      </c>
      <c r="C557">
        <f t="shared" ca="1" si="26"/>
        <v>-1.2405691253358706</v>
      </c>
    </row>
    <row r="558" spans="1:3" x14ac:dyDescent="0.25">
      <c r="A558">
        <f t="shared" ca="1" si="24"/>
        <v>1.9123032624740894</v>
      </c>
      <c r="B558">
        <f t="shared" ca="1" si="25"/>
        <v>0.72733287244777622</v>
      </c>
      <c r="C558">
        <f t="shared" ca="1" si="26"/>
        <v>2.3327904140154971</v>
      </c>
    </row>
    <row r="559" spans="1:3" x14ac:dyDescent="0.25">
      <c r="A559">
        <f t="shared" ca="1" si="24"/>
        <v>0.27258303385281446</v>
      </c>
      <c r="B559">
        <f t="shared" ca="1" si="25"/>
        <v>0.90153398283989139</v>
      </c>
      <c r="C559">
        <f t="shared" ca="1" si="26"/>
        <v>0.79825059606477322</v>
      </c>
    </row>
    <row r="560" spans="1:3" x14ac:dyDescent="0.25">
      <c r="A560">
        <f t="shared" ca="1" si="24"/>
        <v>-0.56748750034057693</v>
      </c>
      <c r="B560">
        <f t="shared" ca="1" si="25"/>
        <v>-0.67262054819973072</v>
      </c>
      <c r="C560">
        <f t="shared" ca="1" si="26"/>
        <v>-0.38741741371253324</v>
      </c>
    </row>
    <row r="561" spans="1:3" x14ac:dyDescent="0.25">
      <c r="A561">
        <f t="shared" ca="1" si="24"/>
        <v>-1.1898173296711727</v>
      </c>
      <c r="B561">
        <f t="shared" ca="1" si="25"/>
        <v>-0.62096247249000081</v>
      </c>
      <c r="C561">
        <f t="shared" ca="1" si="26"/>
        <v>-1.3123156418325208</v>
      </c>
    </row>
    <row r="562" spans="1:3" x14ac:dyDescent="0.25">
      <c r="A562">
        <f t="shared" ca="1" si="24"/>
        <v>-5.4921696809582213E-2</v>
      </c>
      <c r="B562">
        <f t="shared" ca="1" si="25"/>
        <v>-0.48951605100627887</v>
      </c>
      <c r="C562">
        <f t="shared" ca="1" si="26"/>
        <v>-0.23475415154808624</v>
      </c>
    </row>
    <row r="563" spans="1:3" x14ac:dyDescent="0.25">
      <c r="A563">
        <f t="shared" ca="1" si="24"/>
        <v>0.91779426930659169</v>
      </c>
      <c r="B563">
        <f t="shared" ca="1" si="25"/>
        <v>-8.151646506490795E-2</v>
      </c>
      <c r="C563">
        <f t="shared" ca="1" si="26"/>
        <v>2.2744043226151311E-2</v>
      </c>
    </row>
    <row r="564" spans="1:3" x14ac:dyDescent="0.25">
      <c r="A564">
        <f t="shared" ca="1" si="24"/>
        <v>-2.8359481428326987E-2</v>
      </c>
      <c r="B564">
        <f t="shared" ca="1" si="25"/>
        <v>-0.95755766969340239</v>
      </c>
      <c r="C564">
        <f t="shared" ca="1" si="26"/>
        <v>0.33378291533195165</v>
      </c>
    </row>
    <row r="565" spans="1:3" x14ac:dyDescent="0.25">
      <c r="A565">
        <f t="shared" ca="1" si="24"/>
        <v>-0.63028963947990413</v>
      </c>
      <c r="B565">
        <f t="shared" ca="1" si="25"/>
        <v>-1.1701844522888378</v>
      </c>
      <c r="C565">
        <f t="shared" ca="1" si="26"/>
        <v>0.57624557673737753</v>
      </c>
    </row>
    <row r="566" spans="1:3" x14ac:dyDescent="0.25">
      <c r="A566">
        <f t="shared" ca="1" si="24"/>
        <v>2.7527507718639739</v>
      </c>
      <c r="B566">
        <f t="shared" ca="1" si="25"/>
        <v>0.62180371118422495</v>
      </c>
      <c r="C566">
        <f t="shared" ca="1" si="26"/>
        <v>1.7904748109018531</v>
      </c>
    </row>
    <row r="567" spans="1:3" x14ac:dyDescent="0.25">
      <c r="A567">
        <f t="shared" ca="1" si="24"/>
        <v>-2.3282974005499697</v>
      </c>
      <c r="B567">
        <f t="shared" ca="1" si="25"/>
        <v>-3.1522622051142939</v>
      </c>
      <c r="C567">
        <f t="shared" ca="1" si="26"/>
        <v>-1.2526700388437277</v>
      </c>
    </row>
    <row r="568" spans="1:3" x14ac:dyDescent="0.25">
      <c r="A568">
        <f t="shared" ca="1" si="24"/>
        <v>1.6216963441933896</v>
      </c>
      <c r="B568">
        <f t="shared" ca="1" si="25"/>
        <v>1.8365377454140328</v>
      </c>
      <c r="C568">
        <f t="shared" ca="1" si="26"/>
        <v>0.6629691350101744</v>
      </c>
    </row>
    <row r="569" spans="1:3" x14ac:dyDescent="0.25">
      <c r="A569">
        <f t="shared" ca="1" si="24"/>
        <v>-1.448239893012407</v>
      </c>
      <c r="B569">
        <f t="shared" ca="1" si="25"/>
        <v>-0.67551634089423596</v>
      </c>
      <c r="C569">
        <f t="shared" ca="1" si="26"/>
        <v>-1.7980225609047973</v>
      </c>
    </row>
    <row r="570" spans="1:3" x14ac:dyDescent="0.25">
      <c r="A570">
        <f t="shared" ca="1" si="24"/>
        <v>0.77631428170868511</v>
      </c>
      <c r="B570">
        <f t="shared" ca="1" si="25"/>
        <v>-0.40951514266461897</v>
      </c>
      <c r="C570">
        <f t="shared" ca="1" si="26"/>
        <v>-0.30733368709203546</v>
      </c>
    </row>
    <row r="571" spans="1:3" x14ac:dyDescent="0.25">
      <c r="A571">
        <f t="shared" ca="1" si="24"/>
        <v>-1.4900905258765569</v>
      </c>
      <c r="B571">
        <f t="shared" ca="1" si="25"/>
        <v>-1.2750320025711031</v>
      </c>
      <c r="C571">
        <f t="shared" ca="1" si="26"/>
        <v>-0.89180525908147823</v>
      </c>
    </row>
    <row r="572" spans="1:3" x14ac:dyDescent="0.25">
      <c r="A572">
        <f t="shared" ca="1" si="24"/>
        <v>-1.5135269996699474</v>
      </c>
      <c r="B572">
        <f t="shared" ca="1" si="25"/>
        <v>-1.841327089083431</v>
      </c>
      <c r="C572">
        <f t="shared" ca="1" si="26"/>
        <v>-1.4899411698069045</v>
      </c>
    </row>
    <row r="573" spans="1:3" x14ac:dyDescent="0.25">
      <c r="A573">
        <f t="shared" ca="1" si="24"/>
        <v>0.84011787676077143</v>
      </c>
      <c r="B573">
        <f t="shared" ca="1" si="25"/>
        <v>1.3184569052346946</v>
      </c>
      <c r="C573">
        <f t="shared" ca="1" si="26"/>
        <v>0.52932505843457034</v>
      </c>
    </row>
    <row r="574" spans="1:3" x14ac:dyDescent="0.25">
      <c r="A574">
        <f t="shared" ca="1" si="24"/>
        <v>-0.80393418304905673</v>
      </c>
      <c r="B574">
        <f t="shared" ca="1" si="25"/>
        <v>0.28130663240280152</v>
      </c>
      <c r="C574">
        <f t="shared" ca="1" si="26"/>
        <v>-1.437899534066494</v>
      </c>
    </row>
    <row r="575" spans="1:3" x14ac:dyDescent="0.25">
      <c r="A575">
        <f t="shared" ca="1" si="24"/>
        <v>0.50099660618098951</v>
      </c>
      <c r="B575">
        <f t="shared" ca="1" si="25"/>
        <v>1.3843499249796341</v>
      </c>
      <c r="C575">
        <f t="shared" ca="1" si="26"/>
        <v>0.82219896652051694</v>
      </c>
    </row>
    <row r="576" spans="1:3" x14ac:dyDescent="0.25">
      <c r="A576">
        <f t="shared" ca="1" si="24"/>
        <v>-8.4044048931826112E-2</v>
      </c>
      <c r="B576">
        <f t="shared" ca="1" si="25"/>
        <v>-0.41492161406035433</v>
      </c>
      <c r="C576">
        <f t="shared" ca="1" si="26"/>
        <v>-0.17810389549695399</v>
      </c>
    </row>
    <row r="577" spans="1:3" x14ac:dyDescent="0.25">
      <c r="A577">
        <f t="shared" ca="1" si="24"/>
        <v>-0.47352578096308728</v>
      </c>
      <c r="B577">
        <f t="shared" ca="1" si="25"/>
        <v>-0.16792257891500645</v>
      </c>
      <c r="C577">
        <f t="shared" ca="1" si="26"/>
        <v>-0.34817297050459112</v>
      </c>
    </row>
    <row r="578" spans="1:3" x14ac:dyDescent="0.25">
      <c r="A578">
        <f t="shared" ca="1" si="24"/>
        <v>-0.81369788089295647</v>
      </c>
      <c r="B578">
        <f t="shared" ca="1" si="25"/>
        <v>-0.72177860563663465</v>
      </c>
      <c r="C578">
        <f t="shared" ca="1" si="26"/>
        <v>-0.82221390945311168</v>
      </c>
    </row>
    <row r="579" spans="1:3" x14ac:dyDescent="0.25">
      <c r="A579">
        <f t="shared" ca="1" si="24"/>
        <v>1.7279104845529726E-2</v>
      </c>
      <c r="B579">
        <f t="shared" ca="1" si="25"/>
        <v>0.59207484773725116</v>
      </c>
      <c r="C579">
        <f t="shared" ca="1" si="26"/>
        <v>0.83045879049645976</v>
      </c>
    </row>
    <row r="580" spans="1:3" x14ac:dyDescent="0.25">
      <c r="A580">
        <f t="shared" ca="1" si="24"/>
        <v>0.8095514755325931</v>
      </c>
      <c r="B580">
        <f t="shared" ca="1" si="25"/>
        <v>1.0614104672429094</v>
      </c>
      <c r="C580">
        <f t="shared" ca="1" si="26"/>
        <v>0.30868763134103661</v>
      </c>
    </row>
    <row r="581" spans="1:3" x14ac:dyDescent="0.25">
      <c r="A581">
        <f t="shared" ca="1" si="24"/>
        <v>0.27932624567078695</v>
      </c>
      <c r="B581">
        <f t="shared" ca="1" si="25"/>
        <v>0.6379630809724226</v>
      </c>
      <c r="C581">
        <f t="shared" ca="1" si="26"/>
        <v>1.1998709949307067</v>
      </c>
    </row>
    <row r="582" spans="1:3" x14ac:dyDescent="0.25">
      <c r="A582">
        <f t="shared" ref="A582:A645" ca="1" si="27">NORMSINV(RAND())</f>
        <v>-0.45578519842359899</v>
      </c>
      <c r="B582">
        <f t="shared" ref="B582:B645" ca="1" si="28">A582*SQRT($B$2)+SQRT(1-$B$2)*NORMSINV(RAND())</f>
        <v>-0.43597797690050089</v>
      </c>
      <c r="C582">
        <f t="shared" ref="C582:C645" ca="1" si="29">A582*SQRT($B$2)+SQRT(1-$B$2)*NORMSINV(RAND())</f>
        <v>0.1835405624442254</v>
      </c>
    </row>
    <row r="583" spans="1:3" x14ac:dyDescent="0.25">
      <c r="A583">
        <f t="shared" ca="1" si="27"/>
        <v>0.77601654955503241</v>
      </c>
      <c r="B583">
        <f t="shared" ca="1" si="28"/>
        <v>0.63197574743203366</v>
      </c>
      <c r="C583">
        <f t="shared" ca="1" si="29"/>
        <v>0.54244170821701476</v>
      </c>
    </row>
    <row r="584" spans="1:3" x14ac:dyDescent="0.25">
      <c r="A584">
        <f t="shared" ca="1" si="27"/>
        <v>-1.5663245310939904</v>
      </c>
      <c r="B584">
        <f t="shared" ca="1" si="28"/>
        <v>-2.2987481066121505</v>
      </c>
      <c r="C584">
        <f t="shared" ca="1" si="29"/>
        <v>0.12676685939771803</v>
      </c>
    </row>
    <row r="585" spans="1:3" x14ac:dyDescent="0.25">
      <c r="A585">
        <f t="shared" ca="1" si="27"/>
        <v>-0.97956868495551253</v>
      </c>
      <c r="B585">
        <f t="shared" ca="1" si="28"/>
        <v>2.3479340218224287E-2</v>
      </c>
      <c r="C585">
        <f t="shared" ca="1" si="29"/>
        <v>0.29121776193518767</v>
      </c>
    </row>
    <row r="586" spans="1:3" x14ac:dyDescent="0.25">
      <c r="A586">
        <f t="shared" ca="1" si="27"/>
        <v>-0.5849725710916629</v>
      </c>
      <c r="B586">
        <f t="shared" ca="1" si="28"/>
        <v>0.11629174066949033</v>
      </c>
      <c r="C586">
        <f t="shared" ca="1" si="29"/>
        <v>0.82404963491285999</v>
      </c>
    </row>
    <row r="587" spans="1:3" x14ac:dyDescent="0.25">
      <c r="A587">
        <f t="shared" ca="1" si="27"/>
        <v>7.4212895126290618E-2</v>
      </c>
      <c r="B587">
        <f t="shared" ca="1" si="28"/>
        <v>0.66032793049622063</v>
      </c>
      <c r="C587">
        <f t="shared" ca="1" si="29"/>
        <v>-0.57203065223815175</v>
      </c>
    </row>
    <row r="588" spans="1:3" x14ac:dyDescent="0.25">
      <c r="A588">
        <f t="shared" ca="1" si="27"/>
        <v>-1.1897830531849936</v>
      </c>
      <c r="B588">
        <f t="shared" ca="1" si="28"/>
        <v>-8.1765158252853687E-2</v>
      </c>
      <c r="C588">
        <f t="shared" ca="1" si="29"/>
        <v>-1.3490627458753979</v>
      </c>
    </row>
    <row r="589" spans="1:3" x14ac:dyDescent="0.25">
      <c r="A589">
        <f t="shared" ca="1" si="27"/>
        <v>-0.75027510506503792</v>
      </c>
      <c r="B589">
        <f t="shared" ca="1" si="28"/>
        <v>-1.7122139267743768</v>
      </c>
      <c r="C589">
        <f t="shared" ca="1" si="29"/>
        <v>0.57097493993487447</v>
      </c>
    </row>
    <row r="590" spans="1:3" x14ac:dyDescent="0.25">
      <c r="A590">
        <f t="shared" ca="1" si="27"/>
        <v>0.21295743788656049</v>
      </c>
      <c r="B590">
        <f t="shared" ca="1" si="28"/>
        <v>-0.54047245484786455</v>
      </c>
      <c r="C590">
        <f t="shared" ca="1" si="29"/>
        <v>-0.44527680555340171</v>
      </c>
    </row>
    <row r="591" spans="1:3" x14ac:dyDescent="0.25">
      <c r="A591">
        <f t="shared" ca="1" si="27"/>
        <v>-1.7886473421023998</v>
      </c>
      <c r="B591">
        <f t="shared" ca="1" si="28"/>
        <v>-1.6081317623719751</v>
      </c>
      <c r="C591">
        <f t="shared" ca="1" si="29"/>
        <v>-1.0732980566002268</v>
      </c>
    </row>
    <row r="592" spans="1:3" x14ac:dyDescent="0.25">
      <c r="A592">
        <f t="shared" ca="1" si="27"/>
        <v>1.6920060407269715</v>
      </c>
      <c r="B592">
        <f t="shared" ca="1" si="28"/>
        <v>0.91704045100195475</v>
      </c>
      <c r="C592">
        <f t="shared" ca="1" si="29"/>
        <v>0.28191135931310152</v>
      </c>
    </row>
    <row r="593" spans="1:3" x14ac:dyDescent="0.25">
      <c r="A593">
        <f t="shared" ca="1" si="27"/>
        <v>0.35713573485360178</v>
      </c>
      <c r="B593">
        <f t="shared" ca="1" si="28"/>
        <v>1.983052248670033</v>
      </c>
      <c r="C593">
        <f t="shared" ca="1" si="29"/>
        <v>1.0124079454947998</v>
      </c>
    </row>
    <row r="594" spans="1:3" x14ac:dyDescent="0.25">
      <c r="A594">
        <f t="shared" ca="1" si="27"/>
        <v>0.10382063826425916</v>
      </c>
      <c r="B594">
        <f t="shared" ca="1" si="28"/>
        <v>0.85257694594863154</v>
      </c>
      <c r="C594">
        <f t="shared" ca="1" si="29"/>
        <v>-1.2940267242951238</v>
      </c>
    </row>
    <row r="595" spans="1:3" x14ac:dyDescent="0.25">
      <c r="A595">
        <f t="shared" ca="1" si="27"/>
        <v>-0.27153777997162709</v>
      </c>
      <c r="B595">
        <f t="shared" ca="1" si="28"/>
        <v>0.91781363893447609</v>
      </c>
      <c r="C595">
        <f t="shared" ca="1" si="29"/>
        <v>0.75159493887083051</v>
      </c>
    </row>
    <row r="596" spans="1:3" x14ac:dyDescent="0.25">
      <c r="A596">
        <f t="shared" ca="1" si="27"/>
        <v>0.30941384518007542</v>
      </c>
      <c r="B596">
        <f t="shared" ca="1" si="28"/>
        <v>-0.54012606533956142</v>
      </c>
      <c r="C596">
        <f t="shared" ca="1" si="29"/>
        <v>0.17860219393003879</v>
      </c>
    </row>
    <row r="597" spans="1:3" x14ac:dyDescent="0.25">
      <c r="A597">
        <f t="shared" ca="1" si="27"/>
        <v>2.0144279106584682</v>
      </c>
      <c r="B597">
        <f t="shared" ca="1" si="28"/>
        <v>1.180132920234767</v>
      </c>
      <c r="C597">
        <f t="shared" ca="1" si="29"/>
        <v>1.5252157723469293</v>
      </c>
    </row>
    <row r="598" spans="1:3" x14ac:dyDescent="0.25">
      <c r="A598">
        <f t="shared" ca="1" si="27"/>
        <v>-0.92903952282768021</v>
      </c>
      <c r="B598">
        <f t="shared" ca="1" si="28"/>
        <v>-1.1607686554436314</v>
      </c>
      <c r="C598">
        <f t="shared" ca="1" si="29"/>
        <v>-0.39788880682970179</v>
      </c>
    </row>
    <row r="599" spans="1:3" x14ac:dyDescent="0.25">
      <c r="A599">
        <f t="shared" ca="1" si="27"/>
        <v>1.0276339312995326</v>
      </c>
      <c r="B599">
        <f t="shared" ca="1" si="28"/>
        <v>-0.53914052591262251</v>
      </c>
      <c r="C599">
        <f t="shared" ca="1" si="29"/>
        <v>1.270447133627904</v>
      </c>
    </row>
    <row r="600" spans="1:3" x14ac:dyDescent="0.25">
      <c r="A600">
        <f t="shared" ca="1" si="27"/>
        <v>1.9299129675108093</v>
      </c>
      <c r="B600">
        <f t="shared" ca="1" si="28"/>
        <v>2.0833813019373335</v>
      </c>
      <c r="C600">
        <f t="shared" ca="1" si="29"/>
        <v>0.63170995307630717</v>
      </c>
    </row>
    <row r="601" spans="1:3" x14ac:dyDescent="0.25">
      <c r="A601">
        <f t="shared" ca="1" si="27"/>
        <v>-1.1886109771501236</v>
      </c>
      <c r="B601">
        <f t="shared" ca="1" si="28"/>
        <v>0.37239440630492804</v>
      </c>
      <c r="C601">
        <f t="shared" ca="1" si="29"/>
        <v>0.74057071295355614</v>
      </c>
    </row>
    <row r="602" spans="1:3" x14ac:dyDescent="0.25">
      <c r="A602">
        <f t="shared" ca="1" si="27"/>
        <v>-0.90092299846311108</v>
      </c>
      <c r="B602">
        <f t="shared" ca="1" si="28"/>
        <v>4.7304911933434668E-2</v>
      </c>
      <c r="C602">
        <f t="shared" ca="1" si="29"/>
        <v>-0.39596987034062597</v>
      </c>
    </row>
    <row r="603" spans="1:3" x14ac:dyDescent="0.25">
      <c r="A603">
        <f t="shared" ca="1" si="27"/>
        <v>1.4541630807846592E-2</v>
      </c>
      <c r="B603">
        <f t="shared" ca="1" si="28"/>
        <v>-0.68678880195000103</v>
      </c>
      <c r="C603">
        <f t="shared" ca="1" si="29"/>
        <v>1.2839673249949726</v>
      </c>
    </row>
    <row r="604" spans="1:3" x14ac:dyDescent="0.25">
      <c r="A604">
        <f t="shared" ca="1" si="27"/>
        <v>0.42183741844085992</v>
      </c>
      <c r="B604">
        <f t="shared" ca="1" si="28"/>
        <v>0.20803127316385653</v>
      </c>
      <c r="C604">
        <f t="shared" ca="1" si="29"/>
        <v>-0.29830271522483937</v>
      </c>
    </row>
    <row r="605" spans="1:3" x14ac:dyDescent="0.25">
      <c r="A605">
        <f t="shared" ca="1" si="27"/>
        <v>-0.37827097251115083</v>
      </c>
      <c r="B605">
        <f t="shared" ca="1" si="28"/>
        <v>-1.5119637784665856</v>
      </c>
      <c r="C605">
        <f t="shared" ca="1" si="29"/>
        <v>0.96080786975663135</v>
      </c>
    </row>
    <row r="606" spans="1:3" x14ac:dyDescent="0.25">
      <c r="A606">
        <f t="shared" ca="1" si="27"/>
        <v>0.94068532964438134</v>
      </c>
      <c r="B606">
        <f t="shared" ca="1" si="28"/>
        <v>1.9057856309202563</v>
      </c>
      <c r="C606">
        <f t="shared" ca="1" si="29"/>
        <v>-0.51652134495945556</v>
      </c>
    </row>
    <row r="607" spans="1:3" x14ac:dyDescent="0.25">
      <c r="A607">
        <f t="shared" ca="1" si="27"/>
        <v>1.0484838279523778</v>
      </c>
      <c r="B607">
        <f t="shared" ca="1" si="28"/>
        <v>1.0222001796378597</v>
      </c>
      <c r="C607">
        <f t="shared" ca="1" si="29"/>
        <v>1.3566134865928716</v>
      </c>
    </row>
    <row r="608" spans="1:3" x14ac:dyDescent="0.25">
      <c r="A608">
        <f t="shared" ca="1" si="27"/>
        <v>1.0888002188772374</v>
      </c>
      <c r="B608">
        <f t="shared" ca="1" si="28"/>
        <v>1.3637814293806843</v>
      </c>
      <c r="C608">
        <f t="shared" ca="1" si="29"/>
        <v>0.81697919158122756</v>
      </c>
    </row>
    <row r="609" spans="1:3" x14ac:dyDescent="0.25">
      <c r="A609">
        <f t="shared" ca="1" si="27"/>
        <v>-0.94010385943147201</v>
      </c>
      <c r="B609">
        <f t="shared" ca="1" si="28"/>
        <v>-0.68785653236605637</v>
      </c>
      <c r="C609">
        <f t="shared" ca="1" si="29"/>
        <v>0.88257515098982375</v>
      </c>
    </row>
    <row r="610" spans="1:3" x14ac:dyDescent="0.25">
      <c r="A610">
        <f t="shared" ca="1" si="27"/>
        <v>-1.4200660900542326</v>
      </c>
      <c r="B610">
        <f t="shared" ca="1" si="28"/>
        <v>-0.61737893417191292</v>
      </c>
      <c r="C610">
        <f t="shared" ca="1" si="29"/>
        <v>-0.68852218337632287</v>
      </c>
    </row>
    <row r="611" spans="1:3" x14ac:dyDescent="0.25">
      <c r="A611">
        <f t="shared" ca="1" si="27"/>
        <v>0.17209245552739544</v>
      </c>
      <c r="B611">
        <f t="shared" ca="1" si="28"/>
        <v>1.2446780973912166</v>
      </c>
      <c r="C611">
        <f t="shared" ca="1" si="29"/>
        <v>5.1856905552072022E-2</v>
      </c>
    </row>
    <row r="612" spans="1:3" x14ac:dyDescent="0.25">
      <c r="A612">
        <f t="shared" ca="1" si="27"/>
        <v>6.2191323504158527E-2</v>
      </c>
      <c r="B612">
        <f t="shared" ca="1" si="28"/>
        <v>0.61027101544915874</v>
      </c>
      <c r="C612">
        <f t="shared" ca="1" si="29"/>
        <v>-0.34021088931340637</v>
      </c>
    </row>
    <row r="613" spans="1:3" x14ac:dyDescent="0.25">
      <c r="A613">
        <f t="shared" ca="1" si="27"/>
        <v>0.75814440699596752</v>
      </c>
      <c r="B613">
        <f t="shared" ca="1" si="28"/>
        <v>0.73719239273658421</v>
      </c>
      <c r="C613">
        <f t="shared" ca="1" si="29"/>
        <v>5.0750444248006399E-2</v>
      </c>
    </row>
    <row r="614" spans="1:3" x14ac:dyDescent="0.25">
      <c r="A614">
        <f t="shared" ca="1" si="27"/>
        <v>-0.94341936892075839</v>
      </c>
      <c r="B614">
        <f t="shared" ca="1" si="28"/>
        <v>-0.83117961003449259</v>
      </c>
      <c r="C614">
        <f t="shared" ca="1" si="29"/>
        <v>0.45844688535719369</v>
      </c>
    </row>
    <row r="615" spans="1:3" x14ac:dyDescent="0.25">
      <c r="A615">
        <f t="shared" ca="1" si="27"/>
        <v>-0.73672004688590487</v>
      </c>
      <c r="B615">
        <f t="shared" ca="1" si="28"/>
        <v>0.74763620830716038</v>
      </c>
      <c r="C615">
        <f t="shared" ca="1" si="29"/>
        <v>-0.33950187729156805</v>
      </c>
    </row>
    <row r="616" spans="1:3" x14ac:dyDescent="0.25">
      <c r="A616">
        <f t="shared" ca="1" si="27"/>
        <v>-0.36400291593616574</v>
      </c>
      <c r="B616">
        <f t="shared" ca="1" si="28"/>
        <v>1.1665515092320791</v>
      </c>
      <c r="C616">
        <f t="shared" ca="1" si="29"/>
        <v>-0.76312101125699616</v>
      </c>
    </row>
    <row r="617" spans="1:3" x14ac:dyDescent="0.25">
      <c r="A617">
        <f t="shared" ca="1" si="27"/>
        <v>0.3555460197932328</v>
      </c>
      <c r="B617">
        <f t="shared" ca="1" si="28"/>
        <v>0.44931400107985503</v>
      </c>
      <c r="C617">
        <f t="shared" ca="1" si="29"/>
        <v>0.99270100505957004</v>
      </c>
    </row>
    <row r="618" spans="1:3" x14ac:dyDescent="0.25">
      <c r="A618">
        <f t="shared" ca="1" si="27"/>
        <v>1.8873184292380212E-2</v>
      </c>
      <c r="B618">
        <f t="shared" ca="1" si="28"/>
        <v>1.6197705460737573E-2</v>
      </c>
      <c r="C618">
        <f t="shared" ca="1" si="29"/>
        <v>-1.8503446025115877</v>
      </c>
    </row>
    <row r="619" spans="1:3" x14ac:dyDescent="0.25">
      <c r="A619">
        <f t="shared" ca="1" si="27"/>
        <v>1.5059516871906447</v>
      </c>
      <c r="B619">
        <f t="shared" ca="1" si="28"/>
        <v>1.5830598245983716</v>
      </c>
      <c r="C619">
        <f t="shared" ca="1" si="29"/>
        <v>0.94547702888272633</v>
      </c>
    </row>
    <row r="620" spans="1:3" x14ac:dyDescent="0.25">
      <c r="A620">
        <f t="shared" ca="1" si="27"/>
        <v>-1.0940838638540638</v>
      </c>
      <c r="B620">
        <f t="shared" ca="1" si="28"/>
        <v>-0.44179417972691953</v>
      </c>
      <c r="C620">
        <f t="shared" ca="1" si="29"/>
        <v>-1.3725985119369328</v>
      </c>
    </row>
    <row r="621" spans="1:3" x14ac:dyDescent="0.25">
      <c r="A621">
        <f t="shared" ca="1" si="27"/>
        <v>0.8819961975189522</v>
      </c>
      <c r="B621">
        <f t="shared" ca="1" si="28"/>
        <v>-0.60523073011087403</v>
      </c>
      <c r="C621">
        <f t="shared" ca="1" si="29"/>
        <v>0.92106184590917883</v>
      </c>
    </row>
    <row r="622" spans="1:3" x14ac:dyDescent="0.25">
      <c r="A622">
        <f t="shared" ca="1" si="27"/>
        <v>-0.35740087429690343</v>
      </c>
      <c r="B622">
        <f t="shared" ca="1" si="28"/>
        <v>-0.44148509153362347</v>
      </c>
      <c r="C622">
        <f t="shared" ca="1" si="29"/>
        <v>-0.28559796783046332</v>
      </c>
    </row>
    <row r="623" spans="1:3" x14ac:dyDescent="0.25">
      <c r="A623">
        <f t="shared" ca="1" si="27"/>
        <v>-0.25545930269246753</v>
      </c>
      <c r="B623">
        <f t="shared" ca="1" si="28"/>
        <v>-8.1037306738202572E-2</v>
      </c>
      <c r="C623">
        <f t="shared" ca="1" si="29"/>
        <v>0.34354170022433983</v>
      </c>
    </row>
    <row r="624" spans="1:3" x14ac:dyDescent="0.25">
      <c r="A624">
        <f t="shared" ca="1" si="27"/>
        <v>1.176383452249651</v>
      </c>
      <c r="B624">
        <f t="shared" ca="1" si="28"/>
        <v>0.74989538179722737</v>
      </c>
      <c r="C624">
        <f t="shared" ca="1" si="29"/>
        <v>1.1210230346317498</v>
      </c>
    </row>
    <row r="625" spans="1:3" x14ac:dyDescent="0.25">
      <c r="A625">
        <f t="shared" ca="1" si="27"/>
        <v>1.4985033675978272</v>
      </c>
      <c r="B625">
        <f t="shared" ca="1" si="28"/>
        <v>0.65264178294501451</v>
      </c>
      <c r="C625">
        <f t="shared" ca="1" si="29"/>
        <v>0.76969058236215804</v>
      </c>
    </row>
    <row r="626" spans="1:3" x14ac:dyDescent="0.25">
      <c r="A626">
        <f t="shared" ca="1" si="27"/>
        <v>0.72585154631278381</v>
      </c>
      <c r="B626">
        <f t="shared" ca="1" si="28"/>
        <v>0.53670598736729824</v>
      </c>
      <c r="C626">
        <f t="shared" ca="1" si="29"/>
        <v>0.65797790440993709</v>
      </c>
    </row>
    <row r="627" spans="1:3" x14ac:dyDescent="0.25">
      <c r="A627">
        <f t="shared" ca="1" si="27"/>
        <v>-0.98884486638080815</v>
      </c>
      <c r="B627">
        <f t="shared" ca="1" si="28"/>
        <v>-1.355535377924137</v>
      </c>
      <c r="C627">
        <f t="shared" ca="1" si="29"/>
        <v>-0.16773313899546238</v>
      </c>
    </row>
    <row r="628" spans="1:3" x14ac:dyDescent="0.25">
      <c r="A628">
        <f t="shared" ca="1" si="27"/>
        <v>-0.9298637675447714</v>
      </c>
      <c r="B628">
        <f t="shared" ca="1" si="28"/>
        <v>-0.62855057389667957</v>
      </c>
      <c r="C628">
        <f t="shared" ca="1" si="29"/>
        <v>-1.1830090257655805</v>
      </c>
    </row>
    <row r="629" spans="1:3" x14ac:dyDescent="0.25">
      <c r="A629">
        <f t="shared" ca="1" si="27"/>
        <v>0.35716901218592784</v>
      </c>
      <c r="B629">
        <f t="shared" ca="1" si="28"/>
        <v>-5.8619940623225064E-2</v>
      </c>
      <c r="C629">
        <f t="shared" ca="1" si="29"/>
        <v>0.29425547580915073</v>
      </c>
    </row>
    <row r="630" spans="1:3" x14ac:dyDescent="0.25">
      <c r="A630">
        <f t="shared" ca="1" si="27"/>
        <v>1.3673982920813943</v>
      </c>
      <c r="B630">
        <f t="shared" ca="1" si="28"/>
        <v>0.94595256583162346</v>
      </c>
      <c r="C630">
        <f t="shared" ca="1" si="29"/>
        <v>1.1332362423223057</v>
      </c>
    </row>
    <row r="631" spans="1:3" x14ac:dyDescent="0.25">
      <c r="A631">
        <f t="shared" ca="1" si="27"/>
        <v>0.46481946289598763</v>
      </c>
      <c r="B631">
        <f t="shared" ca="1" si="28"/>
        <v>-0.17749332352264763</v>
      </c>
      <c r="C631">
        <f t="shared" ca="1" si="29"/>
        <v>0.2129022987148067</v>
      </c>
    </row>
    <row r="632" spans="1:3" x14ac:dyDescent="0.25">
      <c r="A632">
        <f t="shared" ca="1" si="27"/>
        <v>1.9257372572435549</v>
      </c>
      <c r="B632">
        <f t="shared" ca="1" si="28"/>
        <v>1.346439304611273</v>
      </c>
      <c r="C632">
        <f t="shared" ca="1" si="29"/>
        <v>0.66579260134435814</v>
      </c>
    </row>
    <row r="633" spans="1:3" x14ac:dyDescent="0.25">
      <c r="A633">
        <f t="shared" ca="1" si="27"/>
        <v>0.88732885118924743</v>
      </c>
      <c r="B633">
        <f t="shared" ca="1" si="28"/>
        <v>-5.6670791688615552E-2</v>
      </c>
      <c r="C633">
        <f t="shared" ca="1" si="29"/>
        <v>0.25432330751540538</v>
      </c>
    </row>
    <row r="634" spans="1:3" x14ac:dyDescent="0.25">
      <c r="A634">
        <f t="shared" ca="1" si="27"/>
        <v>0.30205643665805298</v>
      </c>
      <c r="B634">
        <f t="shared" ca="1" si="28"/>
        <v>-5.1601297507203936E-2</v>
      </c>
      <c r="C634">
        <f t="shared" ca="1" si="29"/>
        <v>1.1675121319343291</v>
      </c>
    </row>
    <row r="635" spans="1:3" x14ac:dyDescent="0.25">
      <c r="A635">
        <f t="shared" ca="1" si="27"/>
        <v>-0.4439650658044455</v>
      </c>
      <c r="B635">
        <f t="shared" ca="1" si="28"/>
        <v>-0.7070600978231425</v>
      </c>
      <c r="C635">
        <f t="shared" ca="1" si="29"/>
        <v>-0.11132721019601857</v>
      </c>
    </row>
    <row r="636" spans="1:3" x14ac:dyDescent="0.25">
      <c r="A636">
        <f t="shared" ca="1" si="27"/>
        <v>-0.29377226043380417</v>
      </c>
      <c r="B636">
        <f t="shared" ca="1" si="28"/>
        <v>0.24614233780984074</v>
      </c>
      <c r="C636">
        <f t="shared" ca="1" si="29"/>
        <v>-0.36230415975200547</v>
      </c>
    </row>
    <row r="637" spans="1:3" x14ac:dyDescent="0.25">
      <c r="A637">
        <f t="shared" ca="1" si="27"/>
        <v>-2.225649670245565</v>
      </c>
      <c r="B637">
        <f t="shared" ca="1" si="28"/>
        <v>-2.0165085285583078</v>
      </c>
      <c r="C637">
        <f t="shared" ca="1" si="29"/>
        <v>-2.2753370732009897</v>
      </c>
    </row>
    <row r="638" spans="1:3" x14ac:dyDescent="0.25">
      <c r="A638">
        <f t="shared" ca="1" si="27"/>
        <v>1.8015561534934419</v>
      </c>
      <c r="B638">
        <f t="shared" ca="1" si="28"/>
        <v>0.49092242972530753</v>
      </c>
      <c r="C638">
        <f t="shared" ca="1" si="29"/>
        <v>1.372796932434587</v>
      </c>
    </row>
    <row r="639" spans="1:3" x14ac:dyDescent="0.25">
      <c r="A639">
        <f t="shared" ca="1" si="27"/>
        <v>0.50306547521947442</v>
      </c>
      <c r="B639">
        <f t="shared" ca="1" si="28"/>
        <v>1.4199323442930891</v>
      </c>
      <c r="C639">
        <f t="shared" ca="1" si="29"/>
        <v>0.25523927379219857</v>
      </c>
    </row>
    <row r="640" spans="1:3" x14ac:dyDescent="0.25">
      <c r="A640">
        <f t="shared" ca="1" si="27"/>
        <v>0.98032362657813232</v>
      </c>
      <c r="B640">
        <f t="shared" ca="1" si="28"/>
        <v>1.2175349234101249</v>
      </c>
      <c r="C640">
        <f t="shared" ca="1" si="29"/>
        <v>0.50760090448511741</v>
      </c>
    </row>
    <row r="641" spans="1:3" x14ac:dyDescent="0.25">
      <c r="A641">
        <f t="shared" ca="1" si="27"/>
        <v>-1.1143187947008004</v>
      </c>
      <c r="B641">
        <f t="shared" ca="1" si="28"/>
        <v>-0.61178825816288762</v>
      </c>
      <c r="C641">
        <f t="shared" ca="1" si="29"/>
        <v>-0.98598749406095831</v>
      </c>
    </row>
    <row r="642" spans="1:3" x14ac:dyDescent="0.25">
      <c r="A642">
        <f t="shared" ca="1" si="27"/>
        <v>0.61737343475716311</v>
      </c>
      <c r="B642">
        <f t="shared" ca="1" si="28"/>
        <v>0.32065922361130145</v>
      </c>
      <c r="C642">
        <f t="shared" ca="1" si="29"/>
        <v>0.69547964799901973</v>
      </c>
    </row>
    <row r="643" spans="1:3" x14ac:dyDescent="0.25">
      <c r="A643">
        <f t="shared" ca="1" si="27"/>
        <v>0.81902579418720689</v>
      </c>
      <c r="B643">
        <f t="shared" ca="1" si="28"/>
        <v>0.3466664590506473</v>
      </c>
      <c r="C643">
        <f t="shared" ca="1" si="29"/>
        <v>1.8842516263033484</v>
      </c>
    </row>
    <row r="644" spans="1:3" x14ac:dyDescent="0.25">
      <c r="A644">
        <f t="shared" ca="1" si="27"/>
        <v>-1.1010634287307361</v>
      </c>
      <c r="B644">
        <f t="shared" ca="1" si="28"/>
        <v>-0.54498891184713882</v>
      </c>
      <c r="C644">
        <f t="shared" ca="1" si="29"/>
        <v>0.10419105154066755</v>
      </c>
    </row>
    <row r="645" spans="1:3" x14ac:dyDescent="0.25">
      <c r="A645">
        <f t="shared" ca="1" si="27"/>
        <v>-6.0184579337694118E-2</v>
      </c>
      <c r="B645">
        <f t="shared" ca="1" si="28"/>
        <v>0.63034961296478076</v>
      </c>
      <c r="C645">
        <f t="shared" ca="1" si="29"/>
        <v>-0.58186001129105314</v>
      </c>
    </row>
    <row r="646" spans="1:3" x14ac:dyDescent="0.25">
      <c r="A646">
        <f t="shared" ref="A646:A709" ca="1" si="30">NORMSINV(RAND())</f>
        <v>-0.83504416664366998</v>
      </c>
      <c r="B646">
        <f t="shared" ref="B646:B709" ca="1" si="31">A646*SQRT($B$2)+SQRT(1-$B$2)*NORMSINV(RAND())</f>
        <v>-2.0469699357709468</v>
      </c>
      <c r="C646">
        <f t="shared" ref="C646:C709" ca="1" si="32">A646*SQRT($B$2)+SQRT(1-$B$2)*NORMSINV(RAND())</f>
        <v>-0.62979451461275837</v>
      </c>
    </row>
    <row r="647" spans="1:3" x14ac:dyDescent="0.25">
      <c r="A647">
        <f t="shared" ca="1" si="30"/>
        <v>-1.095124091800338</v>
      </c>
      <c r="B647">
        <f t="shared" ca="1" si="31"/>
        <v>-0.57601676531081569</v>
      </c>
      <c r="C647">
        <f t="shared" ca="1" si="32"/>
        <v>0.30231472611742982</v>
      </c>
    </row>
    <row r="648" spans="1:3" x14ac:dyDescent="0.25">
      <c r="A648">
        <f t="shared" ca="1" si="30"/>
        <v>-0.15059435778430003</v>
      </c>
      <c r="B648">
        <f t="shared" ca="1" si="31"/>
        <v>-0.24930826606564108</v>
      </c>
      <c r="C648">
        <f t="shared" ca="1" si="32"/>
        <v>0.3278930493471689</v>
      </c>
    </row>
    <row r="649" spans="1:3" x14ac:dyDescent="0.25">
      <c r="A649">
        <f t="shared" ca="1" si="30"/>
        <v>9.9542107980112593E-2</v>
      </c>
      <c r="B649">
        <f t="shared" ca="1" si="31"/>
        <v>9.2139678069549341E-2</v>
      </c>
      <c r="C649">
        <f t="shared" ca="1" si="32"/>
        <v>5.3383820685974838E-2</v>
      </c>
    </row>
    <row r="650" spans="1:3" x14ac:dyDescent="0.25">
      <c r="A650">
        <f t="shared" ca="1" si="30"/>
        <v>-0.56755546445339822</v>
      </c>
      <c r="B650">
        <f t="shared" ca="1" si="31"/>
        <v>0.14150028365159795</v>
      </c>
      <c r="C650">
        <f t="shared" ca="1" si="32"/>
        <v>-0.3281277521865319</v>
      </c>
    </row>
    <row r="651" spans="1:3" x14ac:dyDescent="0.25">
      <c r="A651">
        <f t="shared" ca="1" si="30"/>
        <v>1.2757001247787896</v>
      </c>
      <c r="B651">
        <f t="shared" ca="1" si="31"/>
        <v>-0.49300703406253998</v>
      </c>
      <c r="C651">
        <f t="shared" ca="1" si="32"/>
        <v>0.85255604285367026</v>
      </c>
    </row>
    <row r="652" spans="1:3" x14ac:dyDescent="0.25">
      <c r="A652">
        <f t="shared" ca="1" si="30"/>
        <v>-1.4845808392885671</v>
      </c>
      <c r="B652">
        <f t="shared" ca="1" si="31"/>
        <v>-2.0017089521247029</v>
      </c>
      <c r="C652">
        <f t="shared" ca="1" si="32"/>
        <v>-0.64382269515749924</v>
      </c>
    </row>
    <row r="653" spans="1:3" x14ac:dyDescent="0.25">
      <c r="A653">
        <f t="shared" ca="1" si="30"/>
        <v>0.58625966975473076</v>
      </c>
      <c r="B653">
        <f t="shared" ca="1" si="31"/>
        <v>1.8496013074059057</v>
      </c>
      <c r="C653">
        <f t="shared" ca="1" si="32"/>
        <v>0.89445698795284156</v>
      </c>
    </row>
    <row r="654" spans="1:3" x14ac:dyDescent="0.25">
      <c r="A654">
        <f t="shared" ca="1" si="30"/>
        <v>0.121001919943226</v>
      </c>
      <c r="B654">
        <f t="shared" ca="1" si="31"/>
        <v>1.2852469277743819E-2</v>
      </c>
      <c r="C654">
        <f t="shared" ca="1" si="32"/>
        <v>0.14941251926383486</v>
      </c>
    </row>
    <row r="655" spans="1:3" x14ac:dyDescent="0.25">
      <c r="A655">
        <f t="shared" ca="1" si="30"/>
        <v>-0.29472343625901426</v>
      </c>
      <c r="B655">
        <f t="shared" ca="1" si="31"/>
        <v>0.15558647615529134</v>
      </c>
      <c r="C655">
        <f t="shared" ca="1" si="32"/>
        <v>-0.14816242304930483</v>
      </c>
    </row>
    <row r="656" spans="1:3" x14ac:dyDescent="0.25">
      <c r="A656">
        <f t="shared" ca="1" si="30"/>
        <v>0.23482378773911777</v>
      </c>
      <c r="B656">
        <f t="shared" ca="1" si="31"/>
        <v>0.3435432325866199</v>
      </c>
      <c r="C656">
        <f t="shared" ca="1" si="32"/>
        <v>0.59208153767946625</v>
      </c>
    </row>
    <row r="657" spans="1:3" x14ac:dyDescent="0.25">
      <c r="A657">
        <f t="shared" ca="1" si="30"/>
        <v>-0.49945757390263884</v>
      </c>
      <c r="B657">
        <f t="shared" ca="1" si="31"/>
        <v>-1.6728239822747226</v>
      </c>
      <c r="C657">
        <f t="shared" ca="1" si="32"/>
        <v>1.3626793042905723</v>
      </c>
    </row>
    <row r="658" spans="1:3" x14ac:dyDescent="0.25">
      <c r="A658">
        <f t="shared" ca="1" si="30"/>
        <v>-0.71457014303805755</v>
      </c>
      <c r="B658">
        <f t="shared" ca="1" si="31"/>
        <v>-0.27418250429099417</v>
      </c>
      <c r="C658">
        <f t="shared" ca="1" si="32"/>
        <v>-0.54951467056013215</v>
      </c>
    </row>
    <row r="659" spans="1:3" x14ac:dyDescent="0.25">
      <c r="A659">
        <f t="shared" ca="1" si="30"/>
        <v>-0.12774476416339425</v>
      </c>
      <c r="B659">
        <f t="shared" ca="1" si="31"/>
        <v>-0.71355345635280742</v>
      </c>
      <c r="C659">
        <f t="shared" ca="1" si="32"/>
        <v>-7.1258113616301869E-2</v>
      </c>
    </row>
    <row r="660" spans="1:3" x14ac:dyDescent="0.25">
      <c r="A660">
        <f t="shared" ca="1" si="30"/>
        <v>0.32224364823323742</v>
      </c>
      <c r="B660">
        <f t="shared" ca="1" si="31"/>
        <v>-0.2801028353211642</v>
      </c>
      <c r="C660">
        <f t="shared" ca="1" si="32"/>
        <v>0.44292514104978609</v>
      </c>
    </row>
    <row r="661" spans="1:3" x14ac:dyDescent="0.25">
      <c r="A661">
        <f t="shared" ca="1" si="30"/>
        <v>0.66213196371900873</v>
      </c>
      <c r="B661">
        <f t="shared" ca="1" si="31"/>
        <v>-0.48634509852001229</v>
      </c>
      <c r="C661">
        <f t="shared" ca="1" si="32"/>
        <v>-0.21808183086531685</v>
      </c>
    </row>
    <row r="662" spans="1:3" x14ac:dyDescent="0.25">
      <c r="A662">
        <f t="shared" ca="1" si="30"/>
        <v>-0.8186230300618037</v>
      </c>
      <c r="B662">
        <f t="shared" ca="1" si="31"/>
        <v>-0.4028150752036096</v>
      </c>
      <c r="C662">
        <f t="shared" ca="1" si="32"/>
        <v>-0.21849141699364671</v>
      </c>
    </row>
    <row r="663" spans="1:3" x14ac:dyDescent="0.25">
      <c r="A663">
        <f t="shared" ca="1" si="30"/>
        <v>0.49481401092039518</v>
      </c>
      <c r="B663">
        <f t="shared" ca="1" si="31"/>
        <v>1.090026454339196</v>
      </c>
      <c r="C663">
        <f t="shared" ca="1" si="32"/>
        <v>0.70070654863571569</v>
      </c>
    </row>
    <row r="664" spans="1:3" x14ac:dyDescent="0.25">
      <c r="A664">
        <f t="shared" ca="1" si="30"/>
        <v>3.1418031703994071E-3</v>
      </c>
      <c r="B664">
        <f t="shared" ca="1" si="31"/>
        <v>-4.058230815345186E-2</v>
      </c>
      <c r="C664">
        <f t="shared" ca="1" si="32"/>
        <v>-9.870482850457396E-2</v>
      </c>
    </row>
    <row r="665" spans="1:3" x14ac:dyDescent="0.25">
      <c r="A665">
        <f t="shared" ca="1" si="30"/>
        <v>-0.6649375716546998</v>
      </c>
      <c r="B665">
        <f t="shared" ca="1" si="31"/>
        <v>1.5979536219113799E-2</v>
      </c>
      <c r="C665">
        <f t="shared" ca="1" si="32"/>
        <v>0.92910482707506592</v>
      </c>
    </row>
    <row r="666" spans="1:3" x14ac:dyDescent="0.25">
      <c r="A666">
        <f t="shared" ca="1" si="30"/>
        <v>0.55215448877372841</v>
      </c>
      <c r="B666">
        <f t="shared" ca="1" si="31"/>
        <v>-0.29935479921393338</v>
      </c>
      <c r="C666">
        <f t="shared" ca="1" si="32"/>
        <v>1.1199170145632542</v>
      </c>
    </row>
    <row r="667" spans="1:3" x14ac:dyDescent="0.25">
      <c r="A667">
        <f t="shared" ca="1" si="30"/>
        <v>1.0112653864765868</v>
      </c>
      <c r="B667">
        <f t="shared" ca="1" si="31"/>
        <v>1.0322270278090269</v>
      </c>
      <c r="C667">
        <f t="shared" ca="1" si="32"/>
        <v>-0.77411483566352357</v>
      </c>
    </row>
    <row r="668" spans="1:3" x14ac:dyDescent="0.25">
      <c r="A668">
        <f t="shared" ca="1" si="30"/>
        <v>-0.33726128854688642</v>
      </c>
      <c r="B668">
        <f t="shared" ca="1" si="31"/>
        <v>0.92390401789083376</v>
      </c>
      <c r="C668">
        <f t="shared" ca="1" si="32"/>
        <v>0.23633154788773078</v>
      </c>
    </row>
    <row r="669" spans="1:3" x14ac:dyDescent="0.25">
      <c r="A669">
        <f t="shared" ca="1" si="30"/>
        <v>1.7027921435493278</v>
      </c>
      <c r="B669">
        <f t="shared" ca="1" si="31"/>
        <v>1.3869517807201013</v>
      </c>
      <c r="C669">
        <f t="shared" ca="1" si="32"/>
        <v>1.5885226467533071</v>
      </c>
    </row>
    <row r="670" spans="1:3" x14ac:dyDescent="0.25">
      <c r="A670">
        <f t="shared" ca="1" si="30"/>
        <v>-1.4032496954733373</v>
      </c>
      <c r="B670">
        <f t="shared" ca="1" si="31"/>
        <v>-1.7684951607375563</v>
      </c>
      <c r="C670">
        <f t="shared" ca="1" si="32"/>
        <v>-1.485255892046905</v>
      </c>
    </row>
    <row r="671" spans="1:3" x14ac:dyDescent="0.25">
      <c r="A671">
        <f t="shared" ca="1" si="30"/>
        <v>1.1513656411729767</v>
      </c>
      <c r="B671">
        <f t="shared" ca="1" si="31"/>
        <v>1.8402027793395823</v>
      </c>
      <c r="C671">
        <f t="shared" ca="1" si="32"/>
        <v>0.64779796904596187</v>
      </c>
    </row>
    <row r="672" spans="1:3" x14ac:dyDescent="0.25">
      <c r="A672">
        <f t="shared" ca="1" si="30"/>
        <v>-0.12471238199994356</v>
      </c>
      <c r="B672">
        <f t="shared" ca="1" si="31"/>
        <v>0.90724502806751428</v>
      </c>
      <c r="C672">
        <f t="shared" ca="1" si="32"/>
        <v>0.25613783753057107</v>
      </c>
    </row>
    <row r="673" spans="1:3" x14ac:dyDescent="0.25">
      <c r="A673">
        <f t="shared" ca="1" si="30"/>
        <v>0.54345739440954688</v>
      </c>
      <c r="B673">
        <f t="shared" ca="1" si="31"/>
        <v>1.9195057274605438</v>
      </c>
      <c r="C673">
        <f t="shared" ca="1" si="32"/>
        <v>0.10588228662454785</v>
      </c>
    </row>
    <row r="674" spans="1:3" x14ac:dyDescent="0.25">
      <c r="A674">
        <f t="shared" ca="1" si="30"/>
        <v>0.19693806775660416</v>
      </c>
      <c r="B674">
        <f t="shared" ca="1" si="31"/>
        <v>-1.8167199884412168</v>
      </c>
      <c r="C674">
        <f t="shared" ca="1" si="32"/>
        <v>0.64954750880088086</v>
      </c>
    </row>
    <row r="675" spans="1:3" x14ac:dyDescent="0.25">
      <c r="A675">
        <f t="shared" ca="1" si="30"/>
        <v>-1.4921358670699021</v>
      </c>
      <c r="B675">
        <f t="shared" ca="1" si="31"/>
        <v>-1.1309473770643055</v>
      </c>
      <c r="C675">
        <f t="shared" ca="1" si="32"/>
        <v>-1.2536879630043685</v>
      </c>
    </row>
    <row r="676" spans="1:3" x14ac:dyDescent="0.25">
      <c r="A676">
        <f t="shared" ca="1" si="30"/>
        <v>0.20282720059768439</v>
      </c>
      <c r="B676">
        <f t="shared" ca="1" si="31"/>
        <v>-0.43266734748780999</v>
      </c>
      <c r="C676">
        <f t="shared" ca="1" si="32"/>
        <v>0.25516604116756797</v>
      </c>
    </row>
    <row r="677" spans="1:3" x14ac:dyDescent="0.25">
      <c r="A677">
        <f t="shared" ca="1" si="30"/>
        <v>-0.38615207029371262</v>
      </c>
      <c r="B677">
        <f t="shared" ca="1" si="31"/>
        <v>0.24560446221457688</v>
      </c>
      <c r="C677">
        <f t="shared" ca="1" si="32"/>
        <v>-1.9892696863482513</v>
      </c>
    </row>
    <row r="678" spans="1:3" x14ac:dyDescent="0.25">
      <c r="A678">
        <f t="shared" ca="1" si="30"/>
        <v>-0.91292852645564693</v>
      </c>
      <c r="B678">
        <f t="shared" ca="1" si="31"/>
        <v>-0.27586982595501175</v>
      </c>
      <c r="C678">
        <f t="shared" ca="1" si="32"/>
        <v>-1.5133201320566441</v>
      </c>
    </row>
    <row r="679" spans="1:3" x14ac:dyDescent="0.25">
      <c r="A679">
        <f t="shared" ca="1" si="30"/>
        <v>1.3863345156713942</v>
      </c>
      <c r="B679">
        <f t="shared" ca="1" si="31"/>
        <v>0.51438530573171548</v>
      </c>
      <c r="C679">
        <f t="shared" ca="1" si="32"/>
        <v>-9.8124052670076622E-3</v>
      </c>
    </row>
    <row r="680" spans="1:3" x14ac:dyDescent="0.25">
      <c r="A680">
        <f t="shared" ca="1" si="30"/>
        <v>-1.1156489686821471</v>
      </c>
      <c r="B680">
        <f t="shared" ca="1" si="31"/>
        <v>3.405892186308368E-2</v>
      </c>
      <c r="C680">
        <f t="shared" ca="1" si="32"/>
        <v>-0.73890274049713967</v>
      </c>
    </row>
    <row r="681" spans="1:3" x14ac:dyDescent="0.25">
      <c r="A681">
        <f t="shared" ca="1" si="30"/>
        <v>1.5238901687917139</v>
      </c>
      <c r="B681">
        <f t="shared" ca="1" si="31"/>
        <v>1.0897847190455723E-2</v>
      </c>
      <c r="C681">
        <f t="shared" ca="1" si="32"/>
        <v>0.31086593811476548</v>
      </c>
    </row>
    <row r="682" spans="1:3" x14ac:dyDescent="0.25">
      <c r="A682">
        <f t="shared" ca="1" si="30"/>
        <v>0.67500794746002557</v>
      </c>
      <c r="B682">
        <f t="shared" ca="1" si="31"/>
        <v>0.12581660897175712</v>
      </c>
      <c r="C682">
        <f t="shared" ca="1" si="32"/>
        <v>-0.36658283305786865</v>
      </c>
    </row>
    <row r="683" spans="1:3" x14ac:dyDescent="0.25">
      <c r="A683">
        <f t="shared" ca="1" si="30"/>
        <v>-2.0278544124369402</v>
      </c>
      <c r="B683">
        <f t="shared" ca="1" si="31"/>
        <v>-0.65556123962889001</v>
      </c>
      <c r="C683">
        <f t="shared" ca="1" si="32"/>
        <v>-1.9355631292889868</v>
      </c>
    </row>
    <row r="684" spans="1:3" x14ac:dyDescent="0.25">
      <c r="A684">
        <f t="shared" ca="1" si="30"/>
        <v>0.50602259386881143</v>
      </c>
      <c r="B684">
        <f t="shared" ca="1" si="31"/>
        <v>0.99716793387925273</v>
      </c>
      <c r="C684">
        <f t="shared" ca="1" si="32"/>
        <v>9.9127018432982772E-2</v>
      </c>
    </row>
    <row r="685" spans="1:3" x14ac:dyDescent="0.25">
      <c r="A685">
        <f t="shared" ca="1" si="30"/>
        <v>1.0014593837306822</v>
      </c>
      <c r="B685">
        <f t="shared" ca="1" si="31"/>
        <v>1.0186735042077286</v>
      </c>
      <c r="C685">
        <f t="shared" ca="1" si="32"/>
        <v>0.32911737973786531</v>
      </c>
    </row>
    <row r="686" spans="1:3" x14ac:dyDescent="0.25">
      <c r="A686">
        <f t="shared" ca="1" si="30"/>
        <v>-1.3670951208207387</v>
      </c>
      <c r="B686">
        <f t="shared" ca="1" si="31"/>
        <v>-1.3408277935582986</v>
      </c>
      <c r="C686">
        <f t="shared" ca="1" si="32"/>
        <v>-1.488670369200817</v>
      </c>
    </row>
    <row r="687" spans="1:3" x14ac:dyDescent="0.25">
      <c r="A687">
        <f t="shared" ca="1" si="30"/>
        <v>-0.46295467463430995</v>
      </c>
      <c r="B687">
        <f t="shared" ca="1" si="31"/>
        <v>-2.1691790531691186</v>
      </c>
      <c r="C687">
        <f t="shared" ca="1" si="32"/>
        <v>-0.97806765874256563</v>
      </c>
    </row>
    <row r="688" spans="1:3" x14ac:dyDescent="0.25">
      <c r="A688">
        <f t="shared" ca="1" si="30"/>
        <v>-0.58554107865601623</v>
      </c>
      <c r="B688">
        <f t="shared" ca="1" si="31"/>
        <v>0.51773369370533717</v>
      </c>
      <c r="C688">
        <f t="shared" ca="1" si="32"/>
        <v>1.1133479341286334E-2</v>
      </c>
    </row>
    <row r="689" spans="1:3" x14ac:dyDescent="0.25">
      <c r="A689">
        <f t="shared" ca="1" si="30"/>
        <v>0.78959655108062377</v>
      </c>
      <c r="B689">
        <f t="shared" ca="1" si="31"/>
        <v>-9.4473914632100309E-2</v>
      </c>
      <c r="C689">
        <f t="shared" ca="1" si="32"/>
        <v>7.9621307527431129E-2</v>
      </c>
    </row>
    <row r="690" spans="1:3" x14ac:dyDescent="0.25">
      <c r="A690">
        <f t="shared" ca="1" si="30"/>
        <v>-2.0621838318327605</v>
      </c>
      <c r="B690">
        <f t="shared" ca="1" si="31"/>
        <v>-1.5017187591551346</v>
      </c>
      <c r="C690">
        <f t="shared" ca="1" si="32"/>
        <v>-1.6791869958824521</v>
      </c>
    </row>
    <row r="691" spans="1:3" x14ac:dyDescent="0.25">
      <c r="A691">
        <f t="shared" ca="1" si="30"/>
        <v>0.82526281002500479</v>
      </c>
      <c r="B691">
        <f t="shared" ca="1" si="31"/>
        <v>0.89759632500561226</v>
      </c>
      <c r="C691">
        <f t="shared" ca="1" si="32"/>
        <v>-0.68930014520954774</v>
      </c>
    </row>
    <row r="692" spans="1:3" x14ac:dyDescent="0.25">
      <c r="A692">
        <f t="shared" ca="1" si="30"/>
        <v>7.6401762780143309E-2</v>
      </c>
      <c r="B692">
        <f t="shared" ca="1" si="31"/>
        <v>0.17146719851839987</v>
      </c>
      <c r="C692">
        <f t="shared" ca="1" si="32"/>
        <v>-1.1347698595926432</v>
      </c>
    </row>
    <row r="693" spans="1:3" x14ac:dyDescent="0.25">
      <c r="A693">
        <f t="shared" ca="1" si="30"/>
        <v>0.36115909553035747</v>
      </c>
      <c r="B693">
        <f t="shared" ca="1" si="31"/>
        <v>-0.44007475372762</v>
      </c>
      <c r="C693">
        <f t="shared" ca="1" si="32"/>
        <v>1.1478516668367598</v>
      </c>
    </row>
    <row r="694" spans="1:3" x14ac:dyDescent="0.25">
      <c r="A694">
        <f t="shared" ca="1" si="30"/>
        <v>1.0831678638340241</v>
      </c>
      <c r="B694">
        <f t="shared" ca="1" si="31"/>
        <v>1.3728490415007615</v>
      </c>
      <c r="C694">
        <f t="shared" ca="1" si="32"/>
        <v>0.15571335215576576</v>
      </c>
    </row>
    <row r="695" spans="1:3" x14ac:dyDescent="0.25">
      <c r="A695">
        <f t="shared" ca="1" si="30"/>
        <v>-8.5844726428094431E-2</v>
      </c>
      <c r="B695">
        <f t="shared" ca="1" si="31"/>
        <v>0.92510604587289236</v>
      </c>
      <c r="C695">
        <f t="shared" ca="1" si="32"/>
        <v>0.9113129321890906</v>
      </c>
    </row>
    <row r="696" spans="1:3" x14ac:dyDescent="0.25">
      <c r="A696">
        <f t="shared" ca="1" si="30"/>
        <v>4.1771948751626146E-2</v>
      </c>
      <c r="B696">
        <f t="shared" ca="1" si="31"/>
        <v>3.0149261905132976E-2</v>
      </c>
      <c r="C696">
        <f t="shared" ca="1" si="32"/>
        <v>-0.2642673676007225</v>
      </c>
    </row>
    <row r="697" spans="1:3" x14ac:dyDescent="0.25">
      <c r="A697">
        <f t="shared" ca="1" si="30"/>
        <v>1.42168844551062</v>
      </c>
      <c r="B697">
        <f t="shared" ca="1" si="31"/>
        <v>1.1756718673937347</v>
      </c>
      <c r="C697">
        <f t="shared" ca="1" si="32"/>
        <v>2.141254615715444</v>
      </c>
    </row>
    <row r="698" spans="1:3" x14ac:dyDescent="0.25">
      <c r="A698">
        <f t="shared" ca="1" si="30"/>
        <v>-1.5196461179771261</v>
      </c>
      <c r="B698">
        <f t="shared" ca="1" si="31"/>
        <v>-1.0235313055899651</v>
      </c>
      <c r="C698">
        <f t="shared" ca="1" si="32"/>
        <v>-1.4681000739045227</v>
      </c>
    </row>
    <row r="699" spans="1:3" x14ac:dyDescent="0.25">
      <c r="A699">
        <f t="shared" ca="1" si="30"/>
        <v>-0.21221670664565792</v>
      </c>
      <c r="B699">
        <f t="shared" ca="1" si="31"/>
        <v>-8.6694784441509215E-2</v>
      </c>
      <c r="C699">
        <f t="shared" ca="1" si="32"/>
        <v>-1.0031224999094599</v>
      </c>
    </row>
    <row r="700" spans="1:3" x14ac:dyDescent="0.25">
      <c r="A700">
        <f t="shared" ca="1" si="30"/>
        <v>1.6736344513857737</v>
      </c>
      <c r="B700">
        <f t="shared" ca="1" si="31"/>
        <v>1.2030052931658435</v>
      </c>
      <c r="C700">
        <f t="shared" ca="1" si="32"/>
        <v>2.2053094660188948</v>
      </c>
    </row>
    <row r="701" spans="1:3" x14ac:dyDescent="0.25">
      <c r="A701">
        <f t="shared" ca="1" si="30"/>
        <v>0.4286627010424231</v>
      </c>
      <c r="B701">
        <f t="shared" ca="1" si="31"/>
        <v>0.28569699758192924</v>
      </c>
      <c r="C701">
        <f t="shared" ca="1" si="32"/>
        <v>0.48723228536166369</v>
      </c>
    </row>
    <row r="702" spans="1:3" x14ac:dyDescent="0.25">
      <c r="A702">
        <f t="shared" ca="1" si="30"/>
        <v>0.18809358384747399</v>
      </c>
      <c r="B702">
        <f t="shared" ca="1" si="31"/>
        <v>-0.67417680579448025</v>
      </c>
      <c r="C702">
        <f t="shared" ca="1" si="32"/>
        <v>-1.7274039956574172</v>
      </c>
    </row>
    <row r="703" spans="1:3" x14ac:dyDescent="0.25">
      <c r="A703">
        <f t="shared" ca="1" si="30"/>
        <v>0.27188922391376968</v>
      </c>
      <c r="B703">
        <f t="shared" ca="1" si="31"/>
        <v>0.18070808717275472</v>
      </c>
      <c r="C703">
        <f t="shared" ca="1" si="32"/>
        <v>0.91818542931929614</v>
      </c>
    </row>
    <row r="704" spans="1:3" x14ac:dyDescent="0.25">
      <c r="A704">
        <f t="shared" ca="1" si="30"/>
        <v>-0.21939460168185906</v>
      </c>
      <c r="B704">
        <f t="shared" ca="1" si="31"/>
        <v>-0.24960885107323216</v>
      </c>
      <c r="C704">
        <f t="shared" ca="1" si="32"/>
        <v>0.56917045721070725</v>
      </c>
    </row>
    <row r="705" spans="1:3" x14ac:dyDescent="0.25">
      <c r="A705">
        <f t="shared" ca="1" si="30"/>
        <v>1.8376372636220462</v>
      </c>
      <c r="B705">
        <f t="shared" ca="1" si="31"/>
        <v>1.8539351927390464</v>
      </c>
      <c r="C705">
        <f t="shared" ca="1" si="32"/>
        <v>1.9142871058752025</v>
      </c>
    </row>
    <row r="706" spans="1:3" x14ac:dyDescent="0.25">
      <c r="A706">
        <f t="shared" ca="1" si="30"/>
        <v>-0.64137250934372958</v>
      </c>
      <c r="B706">
        <f t="shared" ca="1" si="31"/>
        <v>-0.33012676577155298</v>
      </c>
      <c r="C706">
        <f t="shared" ca="1" si="32"/>
        <v>-0.93338768293861218</v>
      </c>
    </row>
    <row r="707" spans="1:3" x14ac:dyDescent="0.25">
      <c r="A707">
        <f t="shared" ca="1" si="30"/>
        <v>0.10284258125724072</v>
      </c>
      <c r="B707">
        <f t="shared" ca="1" si="31"/>
        <v>0.52669894011753249</v>
      </c>
      <c r="C707">
        <f t="shared" ca="1" si="32"/>
        <v>-0.17175828104681284</v>
      </c>
    </row>
    <row r="708" spans="1:3" x14ac:dyDescent="0.25">
      <c r="A708">
        <f t="shared" ca="1" si="30"/>
        <v>7.4872393146280317E-2</v>
      </c>
      <c r="B708">
        <f t="shared" ca="1" si="31"/>
        <v>0.3656356481682082</v>
      </c>
      <c r="C708">
        <f t="shared" ca="1" si="32"/>
        <v>-0.28771582511834143</v>
      </c>
    </row>
    <row r="709" spans="1:3" x14ac:dyDescent="0.25">
      <c r="A709">
        <f t="shared" ca="1" si="30"/>
        <v>0.23424867503260466</v>
      </c>
      <c r="B709">
        <f t="shared" ca="1" si="31"/>
        <v>0.45729423784431067</v>
      </c>
      <c r="C709">
        <f t="shared" ca="1" si="32"/>
        <v>0.46049301897105249</v>
      </c>
    </row>
    <row r="710" spans="1:3" x14ac:dyDescent="0.25">
      <c r="A710">
        <f t="shared" ref="A710:A773" ca="1" si="33">NORMSINV(RAND())</f>
        <v>0.40555826931668182</v>
      </c>
      <c r="B710">
        <f t="shared" ref="B710:B773" ca="1" si="34">A710*SQRT($B$2)+SQRT(1-$B$2)*NORMSINV(RAND())</f>
        <v>0.39239255594936762</v>
      </c>
      <c r="C710">
        <f t="shared" ref="C710:C773" ca="1" si="35">A710*SQRT($B$2)+SQRT(1-$B$2)*NORMSINV(RAND())</f>
        <v>0.10716850439529654</v>
      </c>
    </row>
    <row r="711" spans="1:3" x14ac:dyDescent="0.25">
      <c r="A711">
        <f t="shared" ca="1" si="33"/>
        <v>0.82463331166060894</v>
      </c>
      <c r="B711">
        <f t="shared" ca="1" si="34"/>
        <v>1.2846728211282674</v>
      </c>
      <c r="C711">
        <f t="shared" ca="1" si="35"/>
        <v>1.5683431519509941</v>
      </c>
    </row>
    <row r="712" spans="1:3" x14ac:dyDescent="0.25">
      <c r="A712">
        <f t="shared" ca="1" si="33"/>
        <v>-1.450831514224443</v>
      </c>
      <c r="B712">
        <f t="shared" ca="1" si="34"/>
        <v>-0.76793424909847263</v>
      </c>
      <c r="C712">
        <f t="shared" ca="1" si="35"/>
        <v>-1.4109758295996597</v>
      </c>
    </row>
    <row r="713" spans="1:3" x14ac:dyDescent="0.25">
      <c r="A713">
        <f t="shared" ca="1" si="33"/>
        <v>1.0150285771834114E-2</v>
      </c>
      <c r="B713">
        <f t="shared" ca="1" si="34"/>
        <v>-0.75236643069169962</v>
      </c>
      <c r="C713">
        <f t="shared" ca="1" si="35"/>
        <v>0.8932668511468338</v>
      </c>
    </row>
    <row r="714" spans="1:3" x14ac:dyDescent="0.25">
      <c r="A714">
        <f t="shared" ca="1" si="33"/>
        <v>1.4953164536512611</v>
      </c>
      <c r="B714">
        <f t="shared" ca="1" si="34"/>
        <v>1.0148541968691727</v>
      </c>
      <c r="C714">
        <f t="shared" ca="1" si="35"/>
        <v>0.63190297789990435</v>
      </c>
    </row>
    <row r="715" spans="1:3" x14ac:dyDescent="0.25">
      <c r="A715">
        <f t="shared" ca="1" si="33"/>
        <v>-0.84954335444912443</v>
      </c>
      <c r="B715">
        <f t="shared" ca="1" si="34"/>
        <v>-1.513598208376429</v>
      </c>
      <c r="C715">
        <f t="shared" ca="1" si="35"/>
        <v>-1.0043113111736586</v>
      </c>
    </row>
    <row r="716" spans="1:3" x14ac:dyDescent="0.25">
      <c r="A716">
        <f t="shared" ca="1" si="33"/>
        <v>-0.16102851797950771</v>
      </c>
      <c r="B716">
        <f t="shared" ca="1" si="34"/>
        <v>-1.1311881779238775</v>
      </c>
      <c r="C716">
        <f t="shared" ca="1" si="35"/>
        <v>0.17269327899898695</v>
      </c>
    </row>
    <row r="717" spans="1:3" x14ac:dyDescent="0.25">
      <c r="A717">
        <f t="shared" ca="1" si="33"/>
        <v>0.83591751537038617</v>
      </c>
      <c r="B717">
        <f t="shared" ca="1" si="34"/>
        <v>1.0978118828181984</v>
      </c>
      <c r="C717">
        <f t="shared" ca="1" si="35"/>
        <v>-0.93177509415723392</v>
      </c>
    </row>
    <row r="718" spans="1:3" x14ac:dyDescent="0.25">
      <c r="A718">
        <f t="shared" ca="1" si="33"/>
        <v>-1.6049258657471066</v>
      </c>
      <c r="B718">
        <f t="shared" ca="1" si="34"/>
        <v>-1.8574513452789645</v>
      </c>
      <c r="C718">
        <f t="shared" ca="1" si="35"/>
        <v>-2.0347107871867331</v>
      </c>
    </row>
    <row r="719" spans="1:3" x14ac:dyDescent="0.25">
      <c r="A719">
        <f t="shared" ca="1" si="33"/>
        <v>-1.0499234973786866</v>
      </c>
      <c r="B719">
        <f t="shared" ca="1" si="34"/>
        <v>-2.4649634452063158</v>
      </c>
      <c r="C719">
        <f t="shared" ca="1" si="35"/>
        <v>-0.55059982247483474</v>
      </c>
    </row>
    <row r="720" spans="1:3" x14ac:dyDescent="0.25">
      <c r="A720">
        <f t="shared" ca="1" si="33"/>
        <v>0.27128834555914999</v>
      </c>
      <c r="B720">
        <f t="shared" ca="1" si="34"/>
        <v>-1.130594370492499</v>
      </c>
      <c r="C720">
        <f t="shared" ca="1" si="35"/>
        <v>0.53937307489157915</v>
      </c>
    </row>
    <row r="721" spans="1:3" x14ac:dyDescent="0.25">
      <c r="A721">
        <f t="shared" ca="1" si="33"/>
        <v>0.38539596600465204</v>
      </c>
      <c r="B721">
        <f t="shared" ca="1" si="34"/>
        <v>1.0357842119243408</v>
      </c>
      <c r="C721">
        <f t="shared" ca="1" si="35"/>
        <v>1.6558926070899185</v>
      </c>
    </row>
    <row r="722" spans="1:3" x14ac:dyDescent="0.25">
      <c r="A722">
        <f t="shared" ca="1" si="33"/>
        <v>-1.5518291001608184</v>
      </c>
      <c r="B722">
        <f t="shared" ca="1" si="34"/>
        <v>-1.5580031883407663</v>
      </c>
      <c r="C722">
        <f t="shared" ca="1" si="35"/>
        <v>-0.61964638493510049</v>
      </c>
    </row>
    <row r="723" spans="1:3" x14ac:dyDescent="0.25">
      <c r="A723">
        <f t="shared" ca="1" si="33"/>
        <v>3.8835772870857939E-2</v>
      </c>
      <c r="B723">
        <f t="shared" ca="1" si="34"/>
        <v>0.25428115056031997</v>
      </c>
      <c r="C723">
        <f t="shared" ca="1" si="35"/>
        <v>-0.74616928681614558</v>
      </c>
    </row>
    <row r="724" spans="1:3" x14ac:dyDescent="0.25">
      <c r="A724">
        <f t="shared" ca="1" si="33"/>
        <v>-0.20840697934385333</v>
      </c>
      <c r="B724">
        <f t="shared" ca="1" si="34"/>
        <v>-1.2828105542495181</v>
      </c>
      <c r="C724">
        <f t="shared" ca="1" si="35"/>
        <v>0.78360679140608835</v>
      </c>
    </row>
    <row r="725" spans="1:3" x14ac:dyDescent="0.25">
      <c r="A725">
        <f t="shared" ca="1" si="33"/>
        <v>-6.6863204530015641E-3</v>
      </c>
      <c r="B725">
        <f t="shared" ca="1" si="34"/>
        <v>0.93640772350056789</v>
      </c>
      <c r="C725">
        <f t="shared" ca="1" si="35"/>
        <v>-0.25605298400011811</v>
      </c>
    </row>
    <row r="726" spans="1:3" x14ac:dyDescent="0.25">
      <c r="A726">
        <f t="shared" ca="1" si="33"/>
        <v>-0.41362447756205301</v>
      </c>
      <c r="B726">
        <f t="shared" ca="1" si="34"/>
        <v>0.62910084629695517</v>
      </c>
      <c r="C726">
        <f t="shared" ca="1" si="35"/>
        <v>-1.4231348512763939</v>
      </c>
    </row>
    <row r="727" spans="1:3" x14ac:dyDescent="0.25">
      <c r="A727">
        <f t="shared" ca="1" si="33"/>
        <v>-0.6809313301543074</v>
      </c>
      <c r="B727">
        <f t="shared" ca="1" si="34"/>
        <v>0.22243818967448747</v>
      </c>
      <c r="C727">
        <f t="shared" ca="1" si="35"/>
        <v>-0.23123713657293166</v>
      </c>
    </row>
    <row r="728" spans="1:3" x14ac:dyDescent="0.25">
      <c r="A728">
        <f t="shared" ca="1" si="33"/>
        <v>-0.13112098202435646</v>
      </c>
      <c r="B728">
        <f t="shared" ca="1" si="34"/>
        <v>-2.0201966452115148</v>
      </c>
      <c r="C728">
        <f t="shared" ca="1" si="35"/>
        <v>-1.5949362247796888</v>
      </c>
    </row>
    <row r="729" spans="1:3" x14ac:dyDescent="0.25">
      <c r="A729">
        <f t="shared" ca="1" si="33"/>
        <v>-0.23773248087024096</v>
      </c>
      <c r="B729">
        <f t="shared" ca="1" si="34"/>
        <v>-1.0871473196603492</v>
      </c>
      <c r="C729">
        <f t="shared" ca="1" si="35"/>
        <v>-0.60808970098811477</v>
      </c>
    </row>
    <row r="730" spans="1:3" x14ac:dyDescent="0.25">
      <c r="A730">
        <f t="shared" ca="1" si="33"/>
        <v>1.804064885994809</v>
      </c>
      <c r="B730">
        <f t="shared" ca="1" si="34"/>
        <v>0.73367900407743092</v>
      </c>
      <c r="C730">
        <f t="shared" ca="1" si="35"/>
        <v>1.7053969944241045</v>
      </c>
    </row>
    <row r="731" spans="1:3" x14ac:dyDescent="0.25">
      <c r="A731">
        <f t="shared" ca="1" si="33"/>
        <v>0.52131650943537744</v>
      </c>
      <c r="B731">
        <f t="shared" ca="1" si="34"/>
        <v>-0.20525387425755742</v>
      </c>
      <c r="C731">
        <f t="shared" ca="1" si="35"/>
        <v>0.15897410631689998</v>
      </c>
    </row>
    <row r="732" spans="1:3" x14ac:dyDescent="0.25">
      <c r="A732">
        <f t="shared" ca="1" si="33"/>
        <v>0.19797710389558795</v>
      </c>
      <c r="B732">
        <f t="shared" ca="1" si="34"/>
        <v>0.62087118545892372</v>
      </c>
      <c r="C732">
        <f t="shared" ca="1" si="35"/>
        <v>-0.78011871672288458</v>
      </c>
    </row>
    <row r="733" spans="1:3" x14ac:dyDescent="0.25">
      <c r="A733">
        <f t="shared" ca="1" si="33"/>
        <v>1.6994537551791793</v>
      </c>
      <c r="B733">
        <f t="shared" ca="1" si="34"/>
        <v>0.70208341525585705</v>
      </c>
      <c r="C733">
        <f t="shared" ca="1" si="35"/>
        <v>1.6844239044250555</v>
      </c>
    </row>
    <row r="734" spans="1:3" x14ac:dyDescent="0.25">
      <c r="A734">
        <f t="shared" ca="1" si="33"/>
        <v>2.7264812404958465E-2</v>
      </c>
      <c r="B734">
        <f t="shared" ca="1" si="34"/>
        <v>-0.57543362685728716</v>
      </c>
      <c r="C734">
        <f t="shared" ca="1" si="35"/>
        <v>0.13387176622289776</v>
      </c>
    </row>
    <row r="735" spans="1:3" x14ac:dyDescent="0.25">
      <c r="A735">
        <f t="shared" ca="1" si="33"/>
        <v>-0.12952608057698242</v>
      </c>
      <c r="B735">
        <f t="shared" ca="1" si="34"/>
        <v>-1.1932328303083781</v>
      </c>
      <c r="C735">
        <f t="shared" ca="1" si="35"/>
        <v>-0.35685042308507675</v>
      </c>
    </row>
    <row r="736" spans="1:3" x14ac:dyDescent="0.25">
      <c r="A736">
        <f t="shared" ca="1" si="33"/>
        <v>0.5365669528939272</v>
      </c>
      <c r="B736">
        <f t="shared" ca="1" si="34"/>
        <v>-1.0323469859511614</v>
      </c>
      <c r="C736">
        <f t="shared" ca="1" si="35"/>
        <v>-0.50419197507393654</v>
      </c>
    </row>
    <row r="737" spans="1:3" x14ac:dyDescent="0.25">
      <c r="A737">
        <f t="shared" ca="1" si="33"/>
        <v>-1.3034727951050308E-3</v>
      </c>
      <c r="B737">
        <f t="shared" ca="1" si="34"/>
        <v>0.24850926253501479</v>
      </c>
      <c r="C737">
        <f t="shared" ca="1" si="35"/>
        <v>-0.94178108953456185</v>
      </c>
    </row>
    <row r="738" spans="1:3" x14ac:dyDescent="0.25">
      <c r="A738">
        <f t="shared" ca="1" si="33"/>
        <v>0.70252616034694571</v>
      </c>
      <c r="B738">
        <f t="shared" ca="1" si="34"/>
        <v>1.3106947441220413</v>
      </c>
      <c r="C738">
        <f t="shared" ca="1" si="35"/>
        <v>1.0541116116734282</v>
      </c>
    </row>
    <row r="739" spans="1:3" x14ac:dyDescent="0.25">
      <c r="A739">
        <f t="shared" ca="1" si="33"/>
        <v>5.2436542613161392E-2</v>
      </c>
      <c r="B739">
        <f t="shared" ca="1" si="34"/>
        <v>0.6322070457087251</v>
      </c>
      <c r="C739">
        <f t="shared" ca="1" si="35"/>
        <v>1.5828293537921607</v>
      </c>
    </row>
    <row r="740" spans="1:3" x14ac:dyDescent="0.25">
      <c r="A740">
        <f t="shared" ca="1" si="33"/>
        <v>0.22293662830179634</v>
      </c>
      <c r="B740">
        <f t="shared" ca="1" si="34"/>
        <v>-0.38146357949103299</v>
      </c>
      <c r="C740">
        <f t="shared" ca="1" si="35"/>
        <v>1.4250082955461452</v>
      </c>
    </row>
    <row r="741" spans="1:3" x14ac:dyDescent="0.25">
      <c r="A741">
        <f t="shared" ca="1" si="33"/>
        <v>1.9385571554257801</v>
      </c>
      <c r="B741">
        <f t="shared" ca="1" si="34"/>
        <v>1.0872102712744671</v>
      </c>
      <c r="C741">
        <f t="shared" ca="1" si="35"/>
        <v>2.0268347859793154</v>
      </c>
    </row>
    <row r="742" spans="1:3" x14ac:dyDescent="0.25">
      <c r="A742">
        <f t="shared" ca="1" si="33"/>
        <v>9.3960598454139635E-2</v>
      </c>
      <c r="B742">
        <f t="shared" ca="1" si="34"/>
        <v>-0.60590813445182401</v>
      </c>
      <c r="C742">
        <f t="shared" ca="1" si="35"/>
        <v>0.91053331322594122</v>
      </c>
    </row>
    <row r="743" spans="1:3" x14ac:dyDescent="0.25">
      <c r="A743">
        <f t="shared" ca="1" si="33"/>
        <v>-0.48555531824982467</v>
      </c>
      <c r="B743">
        <f t="shared" ca="1" si="34"/>
        <v>-1.1185243823707527</v>
      </c>
      <c r="C743">
        <f t="shared" ca="1" si="35"/>
        <v>0.43307021525848044</v>
      </c>
    </row>
    <row r="744" spans="1:3" x14ac:dyDescent="0.25">
      <c r="A744">
        <f t="shared" ca="1" si="33"/>
        <v>-0.5571989426912487</v>
      </c>
      <c r="B744">
        <f t="shared" ca="1" si="34"/>
        <v>1.6786570018439428</v>
      </c>
      <c r="C744">
        <f t="shared" ca="1" si="35"/>
        <v>-1.4010697939305923</v>
      </c>
    </row>
    <row r="745" spans="1:3" x14ac:dyDescent="0.25">
      <c r="A745">
        <f t="shared" ca="1" si="33"/>
        <v>0.85788861446978104</v>
      </c>
      <c r="B745">
        <f t="shared" ca="1" si="34"/>
        <v>1.2190698283762502</v>
      </c>
      <c r="C745">
        <f t="shared" ca="1" si="35"/>
        <v>1.0631315033107491</v>
      </c>
    </row>
    <row r="746" spans="1:3" x14ac:dyDescent="0.25">
      <c r="A746">
        <f t="shared" ca="1" si="33"/>
        <v>0.44632577012531094</v>
      </c>
      <c r="B746">
        <f t="shared" ca="1" si="34"/>
        <v>0.71559801603406692</v>
      </c>
      <c r="C746">
        <f t="shared" ca="1" si="35"/>
        <v>0.93379557223816834</v>
      </c>
    </row>
    <row r="747" spans="1:3" x14ac:dyDescent="0.25">
      <c r="A747">
        <f t="shared" ca="1" si="33"/>
        <v>-0.16980946394851998</v>
      </c>
      <c r="B747">
        <f t="shared" ca="1" si="34"/>
        <v>-0.14355117930322664</v>
      </c>
      <c r="C747">
        <f t="shared" ca="1" si="35"/>
        <v>-0.53529193607346837</v>
      </c>
    </row>
    <row r="748" spans="1:3" x14ac:dyDescent="0.25">
      <c r="A748">
        <f t="shared" ca="1" si="33"/>
        <v>0.21077367364144806</v>
      </c>
      <c r="B748">
        <f t="shared" ca="1" si="34"/>
        <v>1.0386030007407145</v>
      </c>
      <c r="C748">
        <f t="shared" ca="1" si="35"/>
        <v>0.17540533219632123</v>
      </c>
    </row>
    <row r="749" spans="1:3" x14ac:dyDescent="0.25">
      <c r="A749">
        <f t="shared" ca="1" si="33"/>
        <v>1.1612124826620893</v>
      </c>
      <c r="B749">
        <f t="shared" ca="1" si="34"/>
        <v>0.68975054247417389</v>
      </c>
      <c r="C749">
        <f t="shared" ca="1" si="35"/>
        <v>0.1330988139717999</v>
      </c>
    </row>
    <row r="750" spans="1:3" x14ac:dyDescent="0.25">
      <c r="A750">
        <f t="shared" ca="1" si="33"/>
        <v>1.1668296470405262</v>
      </c>
      <c r="B750">
        <f t="shared" ca="1" si="34"/>
        <v>-0.19662669492564511</v>
      </c>
      <c r="C750">
        <f t="shared" ca="1" si="35"/>
        <v>1.4532860714533573</v>
      </c>
    </row>
    <row r="751" spans="1:3" x14ac:dyDescent="0.25">
      <c r="A751">
        <f t="shared" ca="1" si="33"/>
        <v>-0.227484855619248</v>
      </c>
      <c r="B751">
        <f t="shared" ca="1" si="34"/>
        <v>1.3118659843052562</v>
      </c>
      <c r="C751">
        <f t="shared" ca="1" si="35"/>
        <v>0.25371594370047668</v>
      </c>
    </row>
    <row r="752" spans="1:3" x14ac:dyDescent="0.25">
      <c r="A752">
        <f t="shared" ca="1" si="33"/>
        <v>0.36666450011927348</v>
      </c>
      <c r="B752">
        <f t="shared" ca="1" si="34"/>
        <v>-0.76986025884338383</v>
      </c>
      <c r="C752">
        <f t="shared" ca="1" si="35"/>
        <v>0.96086993680883381</v>
      </c>
    </row>
    <row r="753" spans="1:3" x14ac:dyDescent="0.25">
      <c r="A753">
        <f t="shared" ca="1" si="33"/>
        <v>-8.0369629792317585E-2</v>
      </c>
      <c r="B753">
        <f t="shared" ca="1" si="34"/>
        <v>-0.78815697371590043</v>
      </c>
      <c r="C753">
        <f t="shared" ca="1" si="35"/>
        <v>0.25518795038945175</v>
      </c>
    </row>
    <row r="754" spans="1:3" x14ac:dyDescent="0.25">
      <c r="A754">
        <f t="shared" ca="1" si="33"/>
        <v>-2.5215317673227468E-2</v>
      </c>
      <c r="B754">
        <f t="shared" ca="1" si="34"/>
        <v>-0.1685773209498512</v>
      </c>
      <c r="C754">
        <f t="shared" ca="1" si="35"/>
        <v>-0.49018064463095118</v>
      </c>
    </row>
    <row r="755" spans="1:3" x14ac:dyDescent="0.25">
      <c r="A755">
        <f t="shared" ca="1" si="33"/>
        <v>0.64912154474800698</v>
      </c>
      <c r="B755">
        <f t="shared" ca="1" si="34"/>
        <v>0.13076148413927313</v>
      </c>
      <c r="C755">
        <f t="shared" ca="1" si="35"/>
        <v>1.5445263045961719</v>
      </c>
    </row>
    <row r="756" spans="1:3" x14ac:dyDescent="0.25">
      <c r="A756">
        <f t="shared" ca="1" si="33"/>
        <v>6.0274210053670695E-2</v>
      </c>
      <c r="B756">
        <f t="shared" ca="1" si="34"/>
        <v>-0.2378745179275617</v>
      </c>
      <c r="C756">
        <f t="shared" ca="1" si="35"/>
        <v>-0.23683729962788974</v>
      </c>
    </row>
    <row r="757" spans="1:3" x14ac:dyDescent="0.25">
      <c r="A757">
        <f t="shared" ca="1" si="33"/>
        <v>1.2787207540867402</v>
      </c>
      <c r="B757">
        <f t="shared" ca="1" si="34"/>
        <v>-0.24215040082928729</v>
      </c>
      <c r="C757">
        <f t="shared" ca="1" si="35"/>
        <v>0.5736222719689732</v>
      </c>
    </row>
    <row r="758" spans="1:3" x14ac:dyDescent="0.25">
      <c r="A758">
        <f t="shared" ca="1" si="33"/>
        <v>-0.37998235562562593</v>
      </c>
      <c r="B758">
        <f t="shared" ca="1" si="34"/>
        <v>0.42020071708040641</v>
      </c>
      <c r="C758">
        <f t="shared" ca="1" si="35"/>
        <v>-0.19270568997711537</v>
      </c>
    </row>
    <row r="759" spans="1:3" x14ac:dyDescent="0.25">
      <c r="A759">
        <f t="shared" ca="1" si="33"/>
        <v>-1.2126830417931893</v>
      </c>
      <c r="B759">
        <f t="shared" ca="1" si="34"/>
        <v>-0.94797735968664654</v>
      </c>
      <c r="C759">
        <f t="shared" ca="1" si="35"/>
        <v>-0.3247232191201368</v>
      </c>
    </row>
    <row r="760" spans="1:3" x14ac:dyDescent="0.25">
      <c r="A760">
        <f t="shared" ca="1" si="33"/>
        <v>-0.69789352242029368</v>
      </c>
      <c r="B760">
        <f t="shared" ca="1" si="34"/>
        <v>-0.14040770785838197</v>
      </c>
      <c r="C760">
        <f t="shared" ca="1" si="35"/>
        <v>-0.27563655994445729</v>
      </c>
    </row>
    <row r="761" spans="1:3" x14ac:dyDescent="0.25">
      <c r="A761">
        <f t="shared" ca="1" si="33"/>
        <v>-0.14092753442505501</v>
      </c>
      <c r="B761">
        <f t="shared" ca="1" si="34"/>
        <v>-0.23285692163143984</v>
      </c>
      <c r="C761">
        <f t="shared" ca="1" si="35"/>
        <v>-1.3296830050664767</v>
      </c>
    </row>
    <row r="762" spans="1:3" x14ac:dyDescent="0.25">
      <c r="A762">
        <f t="shared" ca="1" si="33"/>
        <v>-5.9001109719741679E-2</v>
      </c>
      <c r="B762">
        <f t="shared" ca="1" si="34"/>
        <v>-0.51999399885369346</v>
      </c>
      <c r="C762">
        <f t="shared" ca="1" si="35"/>
        <v>-9.535760677324899E-2</v>
      </c>
    </row>
    <row r="763" spans="1:3" x14ac:dyDescent="0.25">
      <c r="A763">
        <f t="shared" ca="1" si="33"/>
        <v>-0.52571978754423621</v>
      </c>
      <c r="B763">
        <f t="shared" ca="1" si="34"/>
        <v>-0.77883057711120884</v>
      </c>
      <c r="C763">
        <f t="shared" ca="1" si="35"/>
        <v>-1.3198382654639409</v>
      </c>
    </row>
    <row r="764" spans="1:3" x14ac:dyDescent="0.25">
      <c r="A764">
        <f t="shared" ca="1" si="33"/>
        <v>-0.32056630408791997</v>
      </c>
      <c r="B764">
        <f t="shared" ca="1" si="34"/>
        <v>-3.172805445284127E-2</v>
      </c>
      <c r="C764">
        <f t="shared" ca="1" si="35"/>
        <v>-0.2074840560347305</v>
      </c>
    </row>
    <row r="765" spans="1:3" x14ac:dyDescent="0.25">
      <c r="A765">
        <f t="shared" ca="1" si="33"/>
        <v>-0.4857037254002593</v>
      </c>
      <c r="B765">
        <f t="shared" ca="1" si="34"/>
        <v>-1.8978611075233061</v>
      </c>
      <c r="C765">
        <f t="shared" ca="1" si="35"/>
        <v>-0.40484855924632568</v>
      </c>
    </row>
    <row r="766" spans="1:3" x14ac:dyDescent="0.25">
      <c r="A766">
        <f t="shared" ca="1" si="33"/>
        <v>0.79807925954954906</v>
      </c>
      <c r="B766">
        <f t="shared" ca="1" si="34"/>
        <v>-0.51137827360974475</v>
      </c>
      <c r="C766">
        <f t="shared" ca="1" si="35"/>
        <v>0.85960117195548458</v>
      </c>
    </row>
    <row r="767" spans="1:3" x14ac:dyDescent="0.25">
      <c r="A767">
        <f t="shared" ca="1" si="33"/>
        <v>-0.19439734402973416</v>
      </c>
      <c r="B767">
        <f t="shared" ca="1" si="34"/>
        <v>-9.0296722053912593E-2</v>
      </c>
      <c r="C767">
        <f t="shared" ca="1" si="35"/>
        <v>-0.97314474724954914</v>
      </c>
    </row>
    <row r="768" spans="1:3" x14ac:dyDescent="0.25">
      <c r="A768">
        <f t="shared" ca="1" si="33"/>
        <v>1.650637697141087</v>
      </c>
      <c r="B768">
        <f t="shared" ca="1" si="34"/>
        <v>0.38020986568527304</v>
      </c>
      <c r="C768">
        <f t="shared" ca="1" si="35"/>
        <v>1.2673944671428297</v>
      </c>
    </row>
    <row r="769" spans="1:3" x14ac:dyDescent="0.25">
      <c r="A769">
        <f t="shared" ca="1" si="33"/>
        <v>-1.7358597667003213</v>
      </c>
      <c r="B769">
        <f t="shared" ca="1" si="34"/>
        <v>-1.0695711323637744</v>
      </c>
      <c r="C769">
        <f t="shared" ca="1" si="35"/>
        <v>-2.2182359746963809</v>
      </c>
    </row>
    <row r="770" spans="1:3" x14ac:dyDescent="0.25">
      <c r="A770">
        <f t="shared" ca="1" si="33"/>
        <v>9.3370049126304033E-2</v>
      </c>
      <c r="B770">
        <f t="shared" ca="1" si="34"/>
        <v>0.33739960071873354</v>
      </c>
      <c r="C770">
        <f t="shared" ca="1" si="35"/>
        <v>-0.54329943563991268</v>
      </c>
    </row>
    <row r="771" spans="1:3" x14ac:dyDescent="0.25">
      <c r="A771">
        <f t="shared" ca="1" si="33"/>
        <v>0.46977567914848939</v>
      </c>
      <c r="B771">
        <f t="shared" ca="1" si="34"/>
        <v>0.20389401874794291</v>
      </c>
      <c r="C771">
        <f t="shared" ca="1" si="35"/>
        <v>-1.0481986702831461</v>
      </c>
    </row>
    <row r="772" spans="1:3" x14ac:dyDescent="0.25">
      <c r="A772">
        <f t="shared" ca="1" si="33"/>
        <v>-0.70297958822892115</v>
      </c>
      <c r="B772">
        <f t="shared" ca="1" si="34"/>
        <v>-1.0996884009405108</v>
      </c>
      <c r="C772">
        <f t="shared" ca="1" si="35"/>
        <v>-1.3111362660729156</v>
      </c>
    </row>
    <row r="773" spans="1:3" x14ac:dyDescent="0.25">
      <c r="A773">
        <f t="shared" ca="1" si="33"/>
        <v>-1.3821803800680048</v>
      </c>
      <c r="B773">
        <f t="shared" ca="1" si="34"/>
        <v>-1.2229510102349852</v>
      </c>
      <c r="C773">
        <f t="shared" ca="1" si="35"/>
        <v>-1.0225380875774406</v>
      </c>
    </row>
    <row r="774" spans="1:3" x14ac:dyDescent="0.25">
      <c r="A774">
        <f t="shared" ref="A774:A837" ca="1" si="36">NORMSINV(RAND())</f>
        <v>-0.9266361505538061</v>
      </c>
      <c r="B774">
        <f t="shared" ref="B774:B837" ca="1" si="37">A774*SQRT($B$2)+SQRT(1-$B$2)*NORMSINV(RAND())</f>
        <v>0.22582008262298647</v>
      </c>
      <c r="C774">
        <f t="shared" ref="C774:C837" ca="1" si="38">A774*SQRT($B$2)+SQRT(1-$B$2)*NORMSINV(RAND())</f>
        <v>-0.54050986859560557</v>
      </c>
    </row>
    <row r="775" spans="1:3" x14ac:dyDescent="0.25">
      <c r="A775">
        <f t="shared" ca="1" si="36"/>
        <v>0.24037578612442451</v>
      </c>
      <c r="B775">
        <f t="shared" ca="1" si="37"/>
        <v>-0.44123975188941139</v>
      </c>
      <c r="C775">
        <f t="shared" ca="1" si="38"/>
        <v>6.4466696034486862E-2</v>
      </c>
    </row>
    <row r="776" spans="1:3" x14ac:dyDescent="0.25">
      <c r="A776">
        <f t="shared" ca="1" si="36"/>
        <v>0.61547857728156719</v>
      </c>
      <c r="B776">
        <f t="shared" ca="1" si="37"/>
        <v>-0.72240993213117899</v>
      </c>
      <c r="C776">
        <f t="shared" ca="1" si="38"/>
        <v>0.63156032581483623</v>
      </c>
    </row>
    <row r="777" spans="1:3" x14ac:dyDescent="0.25">
      <c r="A777">
        <f t="shared" ca="1" si="36"/>
        <v>-1.8610204807171187</v>
      </c>
      <c r="B777">
        <f t="shared" ca="1" si="37"/>
        <v>-1.9550109907803073</v>
      </c>
      <c r="C777">
        <f t="shared" ca="1" si="38"/>
        <v>-1.4868901864223916</v>
      </c>
    </row>
    <row r="778" spans="1:3" x14ac:dyDescent="0.25">
      <c r="A778">
        <f t="shared" ca="1" si="36"/>
        <v>0.38834067309185277</v>
      </c>
      <c r="B778">
        <f t="shared" ca="1" si="37"/>
        <v>0.15651735804388384</v>
      </c>
      <c r="C778">
        <f t="shared" ca="1" si="38"/>
        <v>2.2331629312534251</v>
      </c>
    </row>
    <row r="779" spans="1:3" x14ac:dyDescent="0.25">
      <c r="A779">
        <f t="shared" ca="1" si="36"/>
        <v>2.2149109374555952E-2</v>
      </c>
      <c r="B779">
        <f t="shared" ca="1" si="37"/>
        <v>-0.65529274681886784</v>
      </c>
      <c r="C779">
        <f t="shared" ca="1" si="38"/>
        <v>0.82425928616384558</v>
      </c>
    </row>
    <row r="780" spans="1:3" x14ac:dyDescent="0.25">
      <c r="A780">
        <f t="shared" ca="1" si="36"/>
        <v>-0.95371447218890781</v>
      </c>
      <c r="B780">
        <f t="shared" ca="1" si="37"/>
        <v>-0.93567042319304172</v>
      </c>
      <c r="C780">
        <f t="shared" ca="1" si="38"/>
        <v>-0.85290067354910204</v>
      </c>
    </row>
    <row r="781" spans="1:3" x14ac:dyDescent="0.25">
      <c r="A781">
        <f t="shared" ca="1" si="36"/>
        <v>2.067302837399084</v>
      </c>
      <c r="B781">
        <f t="shared" ca="1" si="37"/>
        <v>0.88988751256153542</v>
      </c>
      <c r="C781">
        <f t="shared" ca="1" si="38"/>
        <v>0.86774299321088777</v>
      </c>
    </row>
    <row r="782" spans="1:3" x14ac:dyDescent="0.25">
      <c r="A782">
        <f t="shared" ca="1" si="36"/>
        <v>1.9354079999513776</v>
      </c>
      <c r="B782">
        <f t="shared" ca="1" si="37"/>
        <v>1.4142030465060949</v>
      </c>
      <c r="C782">
        <f t="shared" ca="1" si="38"/>
        <v>1.1712793304118738</v>
      </c>
    </row>
    <row r="783" spans="1:3" x14ac:dyDescent="0.25">
      <c r="A783">
        <f t="shared" ca="1" si="36"/>
        <v>-1.0388137859866984</v>
      </c>
      <c r="B783">
        <f t="shared" ca="1" si="37"/>
        <v>-1.0093204300245011</v>
      </c>
      <c r="C783">
        <f t="shared" ca="1" si="38"/>
        <v>-0.56006818273806236</v>
      </c>
    </row>
    <row r="784" spans="1:3" x14ac:dyDescent="0.25">
      <c r="A784">
        <f t="shared" ca="1" si="36"/>
        <v>1.0375955594918957</v>
      </c>
      <c r="B784">
        <f t="shared" ca="1" si="37"/>
        <v>0.56006122909482525</v>
      </c>
      <c r="C784">
        <f t="shared" ca="1" si="38"/>
        <v>0.83545269494468666</v>
      </c>
    </row>
    <row r="785" spans="1:3" x14ac:dyDescent="0.25">
      <c r="A785">
        <f t="shared" ca="1" si="36"/>
        <v>0.1829538008233996</v>
      </c>
      <c r="B785">
        <f t="shared" ca="1" si="37"/>
        <v>9.6366215220723833E-2</v>
      </c>
      <c r="C785">
        <f t="shared" ca="1" si="38"/>
        <v>-0.5089489609131429</v>
      </c>
    </row>
    <row r="786" spans="1:3" x14ac:dyDescent="0.25">
      <c r="A786">
        <f t="shared" ca="1" si="36"/>
        <v>1.2466692877936496</v>
      </c>
      <c r="B786">
        <f t="shared" ca="1" si="37"/>
        <v>0.42480599028248495</v>
      </c>
      <c r="C786">
        <f t="shared" ca="1" si="38"/>
        <v>0.79937826884947805</v>
      </c>
    </row>
    <row r="787" spans="1:3" x14ac:dyDescent="0.25">
      <c r="A787">
        <f t="shared" ca="1" si="36"/>
        <v>1.1647360269858928</v>
      </c>
      <c r="B787">
        <f t="shared" ca="1" si="37"/>
        <v>0.68630851813238158</v>
      </c>
      <c r="C787">
        <f t="shared" ca="1" si="38"/>
        <v>0.52025317583217912</v>
      </c>
    </row>
    <row r="788" spans="1:3" x14ac:dyDescent="0.25">
      <c r="A788">
        <f t="shared" ca="1" si="36"/>
        <v>1.0805274977539565</v>
      </c>
      <c r="B788">
        <f t="shared" ca="1" si="37"/>
        <v>0.59300179956580523</v>
      </c>
      <c r="C788">
        <f t="shared" ca="1" si="38"/>
        <v>-0.78907230797331718</v>
      </c>
    </row>
    <row r="789" spans="1:3" x14ac:dyDescent="0.25">
      <c r="A789">
        <f t="shared" ca="1" si="36"/>
        <v>-1.2767110791974992</v>
      </c>
      <c r="B789">
        <f t="shared" ca="1" si="37"/>
        <v>-0.73497854248303429</v>
      </c>
      <c r="C789">
        <f t="shared" ca="1" si="38"/>
        <v>-0.74940193663985033</v>
      </c>
    </row>
    <row r="790" spans="1:3" x14ac:dyDescent="0.25">
      <c r="A790">
        <f t="shared" ca="1" si="36"/>
        <v>0.15799937201317635</v>
      </c>
      <c r="B790">
        <f t="shared" ca="1" si="37"/>
        <v>0.62926412728988834</v>
      </c>
      <c r="C790">
        <f t="shared" ca="1" si="38"/>
        <v>-1.0157088385987743</v>
      </c>
    </row>
    <row r="791" spans="1:3" x14ac:dyDescent="0.25">
      <c r="A791">
        <f t="shared" ca="1" si="36"/>
        <v>1.5971331495337346</v>
      </c>
      <c r="B791">
        <f t="shared" ca="1" si="37"/>
        <v>1.6752353978352261</v>
      </c>
      <c r="C791">
        <f t="shared" ca="1" si="38"/>
        <v>0.72550617580397703</v>
      </c>
    </row>
    <row r="792" spans="1:3" x14ac:dyDescent="0.25">
      <c r="A792">
        <f t="shared" ca="1" si="36"/>
        <v>0.563857285172224</v>
      </c>
      <c r="B792">
        <f t="shared" ca="1" si="37"/>
        <v>0.32404687629410922</v>
      </c>
      <c r="C792">
        <f t="shared" ca="1" si="38"/>
        <v>1.9535590803150673</v>
      </c>
    </row>
    <row r="793" spans="1:3" x14ac:dyDescent="0.25">
      <c r="A793">
        <f t="shared" ca="1" si="36"/>
        <v>-1.1115258384258122</v>
      </c>
      <c r="B793">
        <f t="shared" ca="1" si="37"/>
        <v>-0.391460913590301</v>
      </c>
      <c r="C793">
        <f t="shared" ca="1" si="38"/>
        <v>-1.4338868054257607</v>
      </c>
    </row>
    <row r="794" spans="1:3" x14ac:dyDescent="0.25">
      <c r="A794">
        <f t="shared" ca="1" si="36"/>
        <v>-1.5927465217809045</v>
      </c>
      <c r="B794">
        <f t="shared" ca="1" si="37"/>
        <v>-0.66354538260467666</v>
      </c>
      <c r="C794">
        <f t="shared" ca="1" si="38"/>
        <v>-2.078119961193349</v>
      </c>
    </row>
    <row r="795" spans="1:3" x14ac:dyDescent="0.25">
      <c r="A795">
        <f t="shared" ca="1" si="36"/>
        <v>0.28666804429585319</v>
      </c>
      <c r="B795">
        <f t="shared" ca="1" si="37"/>
        <v>-0.44931883080525148</v>
      </c>
      <c r="C795">
        <f t="shared" ca="1" si="38"/>
        <v>-0.26597937264558047</v>
      </c>
    </row>
    <row r="796" spans="1:3" x14ac:dyDescent="0.25">
      <c r="A796">
        <f t="shared" ca="1" si="36"/>
        <v>5.7156329665977119E-2</v>
      </c>
      <c r="B796">
        <f t="shared" ca="1" si="37"/>
        <v>-8.5556210155747048E-2</v>
      </c>
      <c r="C796">
        <f t="shared" ca="1" si="38"/>
        <v>-0.18049390677912189</v>
      </c>
    </row>
    <row r="797" spans="1:3" x14ac:dyDescent="0.25">
      <c r="A797">
        <f t="shared" ca="1" si="36"/>
        <v>1.4784106014527195E-2</v>
      </c>
      <c r="B797">
        <f t="shared" ca="1" si="37"/>
        <v>3.9860242225084247E-2</v>
      </c>
      <c r="C797">
        <f t="shared" ca="1" si="38"/>
        <v>1.1771865353731323</v>
      </c>
    </row>
    <row r="798" spans="1:3" x14ac:dyDescent="0.25">
      <c r="A798">
        <f t="shared" ca="1" si="36"/>
        <v>-0.23455040771534832</v>
      </c>
      <c r="B798">
        <f t="shared" ca="1" si="37"/>
        <v>-0.7796669796110296</v>
      </c>
      <c r="C798">
        <f t="shared" ca="1" si="38"/>
        <v>-0.22827183797314574</v>
      </c>
    </row>
    <row r="799" spans="1:3" x14ac:dyDescent="0.25">
      <c r="A799">
        <f t="shared" ca="1" si="36"/>
        <v>1.1876492663010674</v>
      </c>
      <c r="B799">
        <f t="shared" ca="1" si="37"/>
        <v>-0.42004486747788206</v>
      </c>
      <c r="C799">
        <f t="shared" ca="1" si="38"/>
        <v>0.63217090624628713</v>
      </c>
    </row>
    <row r="800" spans="1:3" x14ac:dyDescent="0.25">
      <c r="A800">
        <f t="shared" ca="1" si="36"/>
        <v>1.1280656369043409</v>
      </c>
      <c r="B800">
        <f t="shared" ca="1" si="37"/>
        <v>1.0176098776908908</v>
      </c>
      <c r="C800">
        <f t="shared" ca="1" si="38"/>
        <v>-0.19904649528797347</v>
      </c>
    </row>
    <row r="801" spans="1:3" x14ac:dyDescent="0.25">
      <c r="A801">
        <f t="shared" ca="1" si="36"/>
        <v>0.79030624029779528</v>
      </c>
      <c r="B801">
        <f t="shared" ca="1" si="37"/>
        <v>1.9889677974649411</v>
      </c>
      <c r="C801">
        <f t="shared" ca="1" si="38"/>
        <v>1.7072471139041299</v>
      </c>
    </row>
    <row r="802" spans="1:3" x14ac:dyDescent="0.25">
      <c r="A802">
        <f t="shared" ca="1" si="36"/>
        <v>-0.42209516001817593</v>
      </c>
      <c r="B802">
        <f t="shared" ca="1" si="37"/>
        <v>9.4820336575968223E-2</v>
      </c>
      <c r="C802">
        <f t="shared" ca="1" si="38"/>
        <v>0.55928559350704787</v>
      </c>
    </row>
    <row r="803" spans="1:3" x14ac:dyDescent="0.25">
      <c r="A803">
        <f t="shared" ca="1" si="36"/>
        <v>-6.7582895033180254E-2</v>
      </c>
      <c r="B803">
        <f t="shared" ca="1" si="37"/>
        <v>-0.39800216988462533</v>
      </c>
      <c r="C803">
        <f t="shared" ca="1" si="38"/>
        <v>1.6296211310631297</v>
      </c>
    </row>
    <row r="804" spans="1:3" x14ac:dyDescent="0.25">
      <c r="A804">
        <f t="shared" ca="1" si="36"/>
        <v>0.52663623899488854</v>
      </c>
      <c r="B804">
        <f t="shared" ca="1" si="37"/>
        <v>0.78843405220281926</v>
      </c>
      <c r="C804">
        <f t="shared" ca="1" si="38"/>
        <v>0.18561982055615897</v>
      </c>
    </row>
    <row r="805" spans="1:3" x14ac:dyDescent="0.25">
      <c r="A805">
        <f t="shared" ca="1" si="36"/>
        <v>-2.2888552232023605E-2</v>
      </c>
      <c r="B805">
        <f t="shared" ca="1" si="37"/>
        <v>-0.8425680065890766</v>
      </c>
      <c r="C805">
        <f t="shared" ca="1" si="38"/>
        <v>-0.40109190733572569</v>
      </c>
    </row>
    <row r="806" spans="1:3" x14ac:dyDescent="0.25">
      <c r="A806">
        <f t="shared" ca="1" si="36"/>
        <v>-1.1276515997685683</v>
      </c>
      <c r="B806">
        <f t="shared" ca="1" si="37"/>
        <v>-0.50068826329634142</v>
      </c>
      <c r="C806">
        <f t="shared" ca="1" si="38"/>
        <v>-0.74287029821783024</v>
      </c>
    </row>
    <row r="807" spans="1:3" x14ac:dyDescent="0.25">
      <c r="A807">
        <f t="shared" ca="1" si="36"/>
        <v>0.32312649814682498</v>
      </c>
      <c r="B807">
        <f t="shared" ca="1" si="37"/>
        <v>-0.11449655984783449</v>
      </c>
      <c r="C807">
        <f t="shared" ca="1" si="38"/>
        <v>0.58783036006499156</v>
      </c>
    </row>
    <row r="808" spans="1:3" x14ac:dyDescent="0.25">
      <c r="A808">
        <f t="shared" ca="1" si="36"/>
        <v>-1.6518264320576153</v>
      </c>
      <c r="B808">
        <f t="shared" ca="1" si="37"/>
        <v>-0.2640101918406782</v>
      </c>
      <c r="C808">
        <f t="shared" ca="1" si="38"/>
        <v>-1.8261671036083134</v>
      </c>
    </row>
    <row r="809" spans="1:3" x14ac:dyDescent="0.25">
      <c r="A809">
        <f t="shared" ca="1" si="36"/>
        <v>1.3248687306819584</v>
      </c>
      <c r="B809">
        <f t="shared" ca="1" si="37"/>
        <v>0.91758088457531084</v>
      </c>
      <c r="C809">
        <f t="shared" ca="1" si="38"/>
        <v>1.8709701392175777</v>
      </c>
    </row>
    <row r="810" spans="1:3" x14ac:dyDescent="0.25">
      <c r="A810">
        <f t="shared" ca="1" si="36"/>
        <v>0.25430291891587387</v>
      </c>
      <c r="B810">
        <f t="shared" ca="1" si="37"/>
        <v>0.3724266127004871</v>
      </c>
      <c r="C810">
        <f t="shared" ca="1" si="38"/>
        <v>0.66896464785605048</v>
      </c>
    </row>
    <row r="811" spans="1:3" x14ac:dyDescent="0.25">
      <c r="A811">
        <f t="shared" ca="1" si="36"/>
        <v>2.1879946604759946</v>
      </c>
      <c r="B811">
        <f t="shared" ca="1" si="37"/>
        <v>1.6961902375203131</v>
      </c>
      <c r="C811">
        <f t="shared" ca="1" si="38"/>
        <v>1.2441939016593726</v>
      </c>
    </row>
    <row r="812" spans="1:3" x14ac:dyDescent="0.25">
      <c r="A812">
        <f t="shared" ca="1" si="36"/>
        <v>1.8590372766761352</v>
      </c>
      <c r="B812">
        <f t="shared" ca="1" si="37"/>
        <v>2.3819118580059317</v>
      </c>
      <c r="C812">
        <f t="shared" ca="1" si="38"/>
        <v>1.8999917016635628</v>
      </c>
    </row>
    <row r="813" spans="1:3" x14ac:dyDescent="0.25">
      <c r="A813">
        <f t="shared" ca="1" si="36"/>
        <v>2.0038766685347982</v>
      </c>
      <c r="B813">
        <f t="shared" ca="1" si="37"/>
        <v>1.9365735580026378</v>
      </c>
      <c r="C813">
        <f t="shared" ca="1" si="38"/>
        <v>1.4128730841881929</v>
      </c>
    </row>
    <row r="814" spans="1:3" x14ac:dyDescent="0.25">
      <c r="A814">
        <f t="shared" ca="1" si="36"/>
        <v>-2.4877772271787015</v>
      </c>
      <c r="B814">
        <f t="shared" ca="1" si="37"/>
        <v>-3.0410773289861037</v>
      </c>
      <c r="C814">
        <f t="shared" ca="1" si="38"/>
        <v>-3.1943276480423135</v>
      </c>
    </row>
    <row r="815" spans="1:3" x14ac:dyDescent="0.25">
      <c r="A815">
        <f t="shared" ca="1" si="36"/>
        <v>0.68165707183910751</v>
      </c>
      <c r="B815">
        <f t="shared" ca="1" si="37"/>
        <v>-0.58783798408745724</v>
      </c>
      <c r="C815">
        <f t="shared" ca="1" si="38"/>
        <v>-0.17354241184488789</v>
      </c>
    </row>
    <row r="816" spans="1:3" x14ac:dyDescent="0.25">
      <c r="A816">
        <f t="shared" ca="1" si="36"/>
        <v>-1.7727600462492621</v>
      </c>
      <c r="B816">
        <f t="shared" ca="1" si="37"/>
        <v>-2.7818218976273004</v>
      </c>
      <c r="C816">
        <f t="shared" ca="1" si="38"/>
        <v>-1.1897240414197467</v>
      </c>
    </row>
    <row r="817" spans="1:3" x14ac:dyDescent="0.25">
      <c r="A817">
        <f t="shared" ca="1" si="36"/>
        <v>0.7939229987225157</v>
      </c>
      <c r="B817">
        <f t="shared" ca="1" si="37"/>
        <v>1.0542928035138908</v>
      </c>
      <c r="C817">
        <f t="shared" ca="1" si="38"/>
        <v>0.10439354789931476</v>
      </c>
    </row>
    <row r="818" spans="1:3" x14ac:dyDescent="0.25">
      <c r="A818">
        <f t="shared" ca="1" si="36"/>
        <v>-1.2587548073461681</v>
      </c>
      <c r="B818">
        <f t="shared" ca="1" si="37"/>
        <v>-0.36131971650321115</v>
      </c>
      <c r="C818">
        <f t="shared" ca="1" si="38"/>
        <v>-0.35911144169655196</v>
      </c>
    </row>
    <row r="819" spans="1:3" x14ac:dyDescent="0.25">
      <c r="A819">
        <f t="shared" ca="1" si="36"/>
        <v>0.47976222713870054</v>
      </c>
      <c r="B819">
        <f t="shared" ca="1" si="37"/>
        <v>0.51739684844111777</v>
      </c>
      <c r="C819">
        <f t="shared" ca="1" si="38"/>
        <v>1.7839288013016992</v>
      </c>
    </row>
    <row r="820" spans="1:3" x14ac:dyDescent="0.25">
      <c r="A820">
        <f t="shared" ca="1" si="36"/>
        <v>1.9190658108391816</v>
      </c>
      <c r="B820">
        <f t="shared" ca="1" si="37"/>
        <v>1.7709148386311586</v>
      </c>
      <c r="C820">
        <f t="shared" ca="1" si="38"/>
        <v>0.56841090516891402</v>
      </c>
    </row>
    <row r="821" spans="1:3" x14ac:dyDescent="0.25">
      <c r="A821">
        <f t="shared" ca="1" si="36"/>
        <v>-1.4718241571754227</v>
      </c>
      <c r="B821">
        <f t="shared" ca="1" si="37"/>
        <v>-1.2136310490561455</v>
      </c>
      <c r="C821">
        <f t="shared" ca="1" si="38"/>
        <v>-0.97885387533462265</v>
      </c>
    </row>
    <row r="822" spans="1:3" x14ac:dyDescent="0.25">
      <c r="A822">
        <f t="shared" ca="1" si="36"/>
        <v>0.859195590918575</v>
      </c>
      <c r="B822">
        <f t="shared" ca="1" si="37"/>
        <v>-8.7454475995380143E-2</v>
      </c>
      <c r="C822">
        <f t="shared" ca="1" si="38"/>
        <v>0.33248750034123248</v>
      </c>
    </row>
    <row r="823" spans="1:3" x14ac:dyDescent="0.25">
      <c r="A823">
        <f t="shared" ca="1" si="36"/>
        <v>-0.51946441011795352</v>
      </c>
      <c r="B823">
        <f t="shared" ca="1" si="37"/>
        <v>0.28414040284007269</v>
      </c>
      <c r="C823">
        <f t="shared" ca="1" si="38"/>
        <v>0.4241764842155652</v>
      </c>
    </row>
    <row r="824" spans="1:3" x14ac:dyDescent="0.25">
      <c r="A824">
        <f t="shared" ca="1" si="36"/>
        <v>-2.4225182034807449</v>
      </c>
      <c r="B824">
        <f t="shared" ca="1" si="37"/>
        <v>-1.8044792263463683</v>
      </c>
      <c r="C824">
        <f t="shared" ca="1" si="38"/>
        <v>-0.544885490553213</v>
      </c>
    </row>
    <row r="825" spans="1:3" x14ac:dyDescent="0.25">
      <c r="A825">
        <f t="shared" ca="1" si="36"/>
        <v>2.0063146413322723</v>
      </c>
      <c r="B825">
        <f t="shared" ca="1" si="37"/>
        <v>2.175654356802935</v>
      </c>
      <c r="C825">
        <f t="shared" ca="1" si="38"/>
        <v>0.80556519142738903</v>
      </c>
    </row>
    <row r="826" spans="1:3" x14ac:dyDescent="0.25">
      <c r="A826">
        <f t="shared" ca="1" si="36"/>
        <v>1.0672873945702508</v>
      </c>
      <c r="B826">
        <f t="shared" ca="1" si="37"/>
        <v>0.695561842296745</v>
      </c>
      <c r="C826">
        <f t="shared" ca="1" si="38"/>
        <v>0.58257876800683861</v>
      </c>
    </row>
    <row r="827" spans="1:3" x14ac:dyDescent="0.25">
      <c r="A827">
        <f t="shared" ca="1" si="36"/>
        <v>-0.38365798557245073</v>
      </c>
      <c r="B827">
        <f t="shared" ca="1" si="37"/>
        <v>-2.5388802648475428E-2</v>
      </c>
      <c r="C827">
        <f t="shared" ca="1" si="38"/>
        <v>0.33680922264365043</v>
      </c>
    </row>
    <row r="828" spans="1:3" x14ac:dyDescent="0.25">
      <c r="A828">
        <f t="shared" ca="1" si="36"/>
        <v>0.95004499661792319</v>
      </c>
      <c r="B828">
        <f t="shared" ca="1" si="37"/>
        <v>5.641924615346261E-2</v>
      </c>
      <c r="C828">
        <f t="shared" ca="1" si="38"/>
        <v>5.2412991802808007E-2</v>
      </c>
    </row>
    <row r="829" spans="1:3" x14ac:dyDescent="0.25">
      <c r="A829">
        <f t="shared" ca="1" si="36"/>
        <v>0.36944669110071726</v>
      </c>
      <c r="B829">
        <f t="shared" ca="1" si="37"/>
        <v>0.19758382767292934</v>
      </c>
      <c r="C829">
        <f t="shared" ca="1" si="38"/>
        <v>3.4596603447963448E-2</v>
      </c>
    </row>
    <row r="830" spans="1:3" x14ac:dyDescent="0.25">
      <c r="A830">
        <f t="shared" ca="1" si="36"/>
        <v>0.49948176450454435</v>
      </c>
      <c r="B830">
        <f t="shared" ca="1" si="37"/>
        <v>-0.71042848023547855</v>
      </c>
      <c r="C830">
        <f t="shared" ca="1" si="38"/>
        <v>4.5763943880206492E-2</v>
      </c>
    </row>
    <row r="831" spans="1:3" x14ac:dyDescent="0.25">
      <c r="A831">
        <f t="shared" ca="1" si="36"/>
        <v>0.74894481181529982</v>
      </c>
      <c r="B831">
        <f t="shared" ca="1" si="37"/>
        <v>0.3587924766419931</v>
      </c>
      <c r="C831">
        <f t="shared" ca="1" si="38"/>
        <v>-1.6210426052689186E-2</v>
      </c>
    </row>
    <row r="832" spans="1:3" x14ac:dyDescent="0.25">
      <c r="A832">
        <f t="shared" ca="1" si="36"/>
        <v>-0.95718721724860789</v>
      </c>
      <c r="B832">
        <f t="shared" ca="1" si="37"/>
        <v>-0.98300675465015552</v>
      </c>
      <c r="C832">
        <f t="shared" ca="1" si="38"/>
        <v>0.60970086279803881</v>
      </c>
    </row>
    <row r="833" spans="1:3" x14ac:dyDescent="0.25">
      <c r="A833">
        <f t="shared" ca="1" si="36"/>
        <v>-0.1267213136705074</v>
      </c>
      <c r="B833">
        <f t="shared" ca="1" si="37"/>
        <v>-0.16722600727715742</v>
      </c>
      <c r="C833">
        <f t="shared" ca="1" si="38"/>
        <v>-0.14725805612969592</v>
      </c>
    </row>
    <row r="834" spans="1:3" x14ac:dyDescent="0.25">
      <c r="A834">
        <f t="shared" ca="1" si="36"/>
        <v>1.2468657696750078</v>
      </c>
      <c r="B834">
        <f t="shared" ca="1" si="37"/>
        <v>1.0084017190367054</v>
      </c>
      <c r="C834">
        <f t="shared" ca="1" si="38"/>
        <v>0.13217651594131097</v>
      </c>
    </row>
    <row r="835" spans="1:3" x14ac:dyDescent="0.25">
      <c r="A835">
        <f t="shared" ca="1" si="36"/>
        <v>-1.1757201383520075</v>
      </c>
      <c r="B835">
        <f t="shared" ca="1" si="37"/>
        <v>-0.87016419103444442</v>
      </c>
      <c r="C835">
        <f t="shared" ca="1" si="38"/>
        <v>-0.77691151871375053</v>
      </c>
    </row>
    <row r="836" spans="1:3" x14ac:dyDescent="0.25">
      <c r="A836">
        <f t="shared" ca="1" si="36"/>
        <v>-1.2883614831856809</v>
      </c>
      <c r="B836">
        <f t="shared" ca="1" si="37"/>
        <v>-1.7360821029070106E-2</v>
      </c>
      <c r="C836">
        <f t="shared" ca="1" si="38"/>
        <v>-2.3258277383489645</v>
      </c>
    </row>
    <row r="837" spans="1:3" x14ac:dyDescent="0.25">
      <c r="A837">
        <f t="shared" ca="1" si="36"/>
        <v>-0.23098458175770858</v>
      </c>
      <c r="B837">
        <f t="shared" ca="1" si="37"/>
        <v>-0.90398197172653316</v>
      </c>
      <c r="C837">
        <f t="shared" ca="1" si="38"/>
        <v>1.2145539648886237</v>
      </c>
    </row>
    <row r="838" spans="1:3" x14ac:dyDescent="0.25">
      <c r="A838">
        <f t="shared" ref="A838:A901" ca="1" si="39">NORMSINV(RAND())</f>
        <v>1.4781749648679705</v>
      </c>
      <c r="B838">
        <f t="shared" ref="B838:B901" ca="1" si="40">A838*SQRT($B$2)+SQRT(1-$B$2)*NORMSINV(RAND())</f>
        <v>0.96609321735962772</v>
      </c>
      <c r="C838">
        <f t="shared" ref="C838:C901" ca="1" si="41">A838*SQRT($B$2)+SQRT(1-$B$2)*NORMSINV(RAND())</f>
        <v>0.54449288919695638</v>
      </c>
    </row>
    <row r="839" spans="1:3" x14ac:dyDescent="0.25">
      <c r="A839">
        <f t="shared" ca="1" si="39"/>
        <v>0.35431694687415516</v>
      </c>
      <c r="B839">
        <f t="shared" ca="1" si="40"/>
        <v>-4.4496829624549594E-2</v>
      </c>
      <c r="C839">
        <f t="shared" ca="1" si="41"/>
        <v>-0.68078849839019773</v>
      </c>
    </row>
    <row r="840" spans="1:3" x14ac:dyDescent="0.25">
      <c r="A840">
        <f t="shared" ca="1" si="39"/>
        <v>0.85997056132621752</v>
      </c>
      <c r="B840">
        <f t="shared" ca="1" si="40"/>
        <v>0.53682442974934286</v>
      </c>
      <c r="C840">
        <f t="shared" ca="1" si="41"/>
        <v>-0.6556747866246575</v>
      </c>
    </row>
    <row r="841" spans="1:3" x14ac:dyDescent="0.25">
      <c r="A841">
        <f t="shared" ca="1" si="39"/>
        <v>-0.15584485699476106</v>
      </c>
      <c r="B841">
        <f t="shared" ca="1" si="40"/>
        <v>0.49380890105670905</v>
      </c>
      <c r="C841">
        <f t="shared" ca="1" si="41"/>
        <v>0.80432108644854261</v>
      </c>
    </row>
    <row r="842" spans="1:3" x14ac:dyDescent="0.25">
      <c r="A842">
        <f t="shared" ca="1" si="39"/>
        <v>-1.6926821914348562</v>
      </c>
      <c r="B842">
        <f t="shared" ca="1" si="40"/>
        <v>-1.3565593164232483</v>
      </c>
      <c r="C842">
        <f t="shared" ca="1" si="41"/>
        <v>-1.7363208105549941</v>
      </c>
    </row>
    <row r="843" spans="1:3" x14ac:dyDescent="0.25">
      <c r="A843">
        <f t="shared" ca="1" si="39"/>
        <v>0.82855215598916565</v>
      </c>
      <c r="B843">
        <f t="shared" ca="1" si="40"/>
        <v>1.4966882941590507</v>
      </c>
      <c r="C843">
        <f t="shared" ca="1" si="41"/>
        <v>0.27002033688044785</v>
      </c>
    </row>
    <row r="844" spans="1:3" x14ac:dyDescent="0.25">
      <c r="A844">
        <f t="shared" ca="1" si="39"/>
        <v>1.0442401286608198</v>
      </c>
      <c r="B844">
        <f t="shared" ca="1" si="40"/>
        <v>0.39506077426924369</v>
      </c>
      <c r="C844">
        <f t="shared" ca="1" si="41"/>
        <v>0.10126528907687593</v>
      </c>
    </row>
    <row r="845" spans="1:3" x14ac:dyDescent="0.25">
      <c r="A845">
        <f t="shared" ca="1" si="39"/>
        <v>5.0205383935961224E-2</v>
      </c>
      <c r="B845">
        <f t="shared" ca="1" si="40"/>
        <v>4.2962956709851952E-2</v>
      </c>
      <c r="C845">
        <f t="shared" ca="1" si="41"/>
        <v>0.59012097121263007</v>
      </c>
    </row>
    <row r="846" spans="1:3" x14ac:dyDescent="0.25">
      <c r="A846">
        <f t="shared" ca="1" si="39"/>
        <v>-1.3559007245832511</v>
      </c>
      <c r="B846">
        <f t="shared" ca="1" si="40"/>
        <v>-1.1620961688758202</v>
      </c>
      <c r="C846">
        <f t="shared" ca="1" si="41"/>
        <v>-0.62368323550713978</v>
      </c>
    </row>
    <row r="847" spans="1:3" x14ac:dyDescent="0.25">
      <c r="A847">
        <f t="shared" ca="1" si="39"/>
        <v>0.34997815104271768</v>
      </c>
      <c r="B847">
        <f t="shared" ca="1" si="40"/>
        <v>-0.67153142415623857</v>
      </c>
      <c r="C847">
        <f t="shared" ca="1" si="41"/>
        <v>0.62424823509784877</v>
      </c>
    </row>
    <row r="848" spans="1:3" x14ac:dyDescent="0.25">
      <c r="A848">
        <f t="shared" ca="1" si="39"/>
        <v>-0.31773774986770464</v>
      </c>
      <c r="B848">
        <f t="shared" ca="1" si="40"/>
        <v>-1.9253227870826652</v>
      </c>
      <c r="C848">
        <f t="shared" ca="1" si="41"/>
        <v>1.0791153524536248</v>
      </c>
    </row>
    <row r="849" spans="1:3" x14ac:dyDescent="0.25">
      <c r="A849">
        <f t="shared" ca="1" si="39"/>
        <v>-0.53589224148070325</v>
      </c>
      <c r="B849">
        <f t="shared" ca="1" si="40"/>
        <v>-1.3456406154904543</v>
      </c>
      <c r="C849">
        <f t="shared" ca="1" si="41"/>
        <v>-1.8927951281830526</v>
      </c>
    </row>
    <row r="850" spans="1:3" x14ac:dyDescent="0.25">
      <c r="A850">
        <f t="shared" ca="1" si="39"/>
        <v>-9.5997468375707579E-2</v>
      </c>
      <c r="B850">
        <f t="shared" ca="1" si="40"/>
        <v>-1.1850104641515373</v>
      </c>
      <c r="C850">
        <f t="shared" ca="1" si="41"/>
        <v>0.61078878502143141</v>
      </c>
    </row>
    <row r="851" spans="1:3" x14ac:dyDescent="0.25">
      <c r="A851">
        <f t="shared" ca="1" si="39"/>
        <v>-0.29056447926127282</v>
      </c>
      <c r="B851">
        <f t="shared" ca="1" si="40"/>
        <v>-1.3102653766399708</v>
      </c>
      <c r="C851">
        <f t="shared" ca="1" si="41"/>
        <v>-1.1624775615020857</v>
      </c>
    </row>
    <row r="852" spans="1:3" x14ac:dyDescent="0.25">
      <c r="A852">
        <f t="shared" ca="1" si="39"/>
        <v>-0.27411052578177991</v>
      </c>
      <c r="B852">
        <f t="shared" ca="1" si="40"/>
        <v>0.81590777321231811</v>
      </c>
      <c r="C852">
        <f t="shared" ca="1" si="41"/>
        <v>-0.91763530428565576</v>
      </c>
    </row>
    <row r="853" spans="1:3" x14ac:dyDescent="0.25">
      <c r="A853">
        <f t="shared" ca="1" si="39"/>
        <v>0.7868389855431781</v>
      </c>
      <c r="B853">
        <f t="shared" ca="1" si="40"/>
        <v>2.4155515494547184</v>
      </c>
      <c r="C853">
        <f t="shared" ca="1" si="41"/>
        <v>-1.3075586150031286</v>
      </c>
    </row>
    <row r="854" spans="1:3" x14ac:dyDescent="0.25">
      <c r="A854">
        <f t="shared" ca="1" si="39"/>
        <v>0.98552520236321983</v>
      </c>
      <c r="B854">
        <f t="shared" ca="1" si="40"/>
        <v>1.2266575799363775</v>
      </c>
      <c r="C854">
        <f t="shared" ca="1" si="41"/>
        <v>0.86135310365585771</v>
      </c>
    </row>
    <row r="855" spans="1:3" x14ac:dyDescent="0.25">
      <c r="A855">
        <f t="shared" ca="1" si="39"/>
        <v>1.7816858057297007</v>
      </c>
      <c r="B855">
        <f t="shared" ca="1" si="40"/>
        <v>0.40587808694592309</v>
      </c>
      <c r="C855">
        <f t="shared" ca="1" si="41"/>
        <v>1.322240718091469</v>
      </c>
    </row>
    <row r="856" spans="1:3" x14ac:dyDescent="0.25">
      <c r="A856">
        <f t="shared" ca="1" si="39"/>
        <v>-0.79806908980383662</v>
      </c>
      <c r="B856">
        <f t="shared" ca="1" si="40"/>
        <v>-0.73669971962883407</v>
      </c>
      <c r="C856">
        <f t="shared" ca="1" si="41"/>
        <v>-0.3305456322571087</v>
      </c>
    </row>
    <row r="857" spans="1:3" x14ac:dyDescent="0.25">
      <c r="A857">
        <f t="shared" ca="1" si="39"/>
        <v>0.91685705956138708</v>
      </c>
      <c r="B857">
        <f t="shared" ca="1" si="40"/>
        <v>1.3568394311257035</v>
      </c>
      <c r="C857">
        <f t="shared" ca="1" si="41"/>
        <v>9.3603466675781899E-2</v>
      </c>
    </row>
    <row r="858" spans="1:3" x14ac:dyDescent="0.25">
      <c r="A858">
        <f t="shared" ca="1" si="39"/>
        <v>-0.4005196321069327</v>
      </c>
      <c r="B858">
        <f t="shared" ca="1" si="40"/>
        <v>-0.35857502569393257</v>
      </c>
      <c r="C858">
        <f t="shared" ca="1" si="41"/>
        <v>-1.0305186932349859</v>
      </c>
    </row>
    <row r="859" spans="1:3" x14ac:dyDescent="0.25">
      <c r="A859">
        <f t="shared" ca="1" si="39"/>
        <v>2.806061460242271E-2</v>
      </c>
      <c r="B859">
        <f t="shared" ca="1" si="40"/>
        <v>0.13500280516932534</v>
      </c>
      <c r="C859">
        <f t="shared" ca="1" si="41"/>
        <v>0.4325975547141081</v>
      </c>
    </row>
    <row r="860" spans="1:3" x14ac:dyDescent="0.25">
      <c r="A860">
        <f t="shared" ca="1" si="39"/>
        <v>-0.68367550508804087</v>
      </c>
      <c r="B860">
        <f t="shared" ca="1" si="40"/>
        <v>-0.87940873301232836</v>
      </c>
      <c r="C860">
        <f t="shared" ca="1" si="41"/>
        <v>-0.91391994898720696</v>
      </c>
    </row>
    <row r="861" spans="1:3" x14ac:dyDescent="0.25">
      <c r="A861">
        <f t="shared" ca="1" si="39"/>
        <v>1.2496704699289165</v>
      </c>
      <c r="B861">
        <f t="shared" ca="1" si="40"/>
        <v>0.99636654616070219</v>
      </c>
      <c r="C861">
        <f t="shared" ca="1" si="41"/>
        <v>0.67747807879610766</v>
      </c>
    </row>
    <row r="862" spans="1:3" x14ac:dyDescent="0.25">
      <c r="A862">
        <f t="shared" ca="1" si="39"/>
        <v>1.8607228066313606</v>
      </c>
      <c r="B862">
        <f t="shared" ca="1" si="40"/>
        <v>0.10444364323035016</v>
      </c>
      <c r="C862">
        <f t="shared" ca="1" si="41"/>
        <v>0.12141041631681504</v>
      </c>
    </row>
    <row r="863" spans="1:3" x14ac:dyDescent="0.25">
      <c r="A863">
        <f t="shared" ca="1" si="39"/>
        <v>0.28231414239460978</v>
      </c>
      <c r="B863">
        <f t="shared" ca="1" si="40"/>
        <v>1.2455245571580293</v>
      </c>
      <c r="C863">
        <f t="shared" ca="1" si="41"/>
        <v>-0.44527851814327046</v>
      </c>
    </row>
    <row r="864" spans="1:3" x14ac:dyDescent="0.25">
      <c r="A864">
        <f t="shared" ca="1" si="39"/>
        <v>0.41554444263856488</v>
      </c>
      <c r="B864">
        <f t="shared" ca="1" si="40"/>
        <v>-0.17290032309814868</v>
      </c>
      <c r="C864">
        <f t="shared" ca="1" si="41"/>
        <v>1.3695881760273589</v>
      </c>
    </row>
    <row r="865" spans="1:3" x14ac:dyDescent="0.25">
      <c r="A865">
        <f t="shared" ca="1" si="39"/>
        <v>0.25963778648319946</v>
      </c>
      <c r="B865">
        <f t="shared" ca="1" si="40"/>
        <v>-0.31001951583836829</v>
      </c>
      <c r="C865">
        <f t="shared" ca="1" si="41"/>
        <v>0.54582034872571961</v>
      </c>
    </row>
    <row r="866" spans="1:3" x14ac:dyDescent="0.25">
      <c r="A866">
        <f t="shared" ca="1" si="39"/>
        <v>-0.95494704283925336</v>
      </c>
      <c r="B866">
        <f t="shared" ca="1" si="40"/>
        <v>-0.50529576218466876</v>
      </c>
      <c r="C866">
        <f t="shared" ca="1" si="41"/>
        <v>-0.21499461747334447</v>
      </c>
    </row>
    <row r="867" spans="1:3" x14ac:dyDescent="0.25">
      <c r="A867">
        <f t="shared" ca="1" si="39"/>
        <v>-0.36030515094941157</v>
      </c>
      <c r="B867">
        <f t="shared" ca="1" si="40"/>
        <v>0.1546320837089904</v>
      </c>
      <c r="C867">
        <f t="shared" ca="1" si="41"/>
        <v>-0.26625698760658462</v>
      </c>
    </row>
    <row r="868" spans="1:3" x14ac:dyDescent="0.25">
      <c r="A868">
        <f t="shared" ca="1" si="39"/>
        <v>9.3533689762082567E-2</v>
      </c>
      <c r="B868">
        <f t="shared" ca="1" si="40"/>
        <v>1.0955404665328543</v>
      </c>
      <c r="C868">
        <f t="shared" ca="1" si="41"/>
        <v>1.7323543314806816E-3</v>
      </c>
    </row>
    <row r="869" spans="1:3" x14ac:dyDescent="0.25">
      <c r="A869">
        <f t="shared" ca="1" si="39"/>
        <v>-1.8211840428511913E-2</v>
      </c>
      <c r="B869">
        <f t="shared" ca="1" si="40"/>
        <v>-0.12166174875837348</v>
      </c>
      <c r="C869">
        <f t="shared" ca="1" si="41"/>
        <v>0.66959232014066705</v>
      </c>
    </row>
    <row r="870" spans="1:3" x14ac:dyDescent="0.25">
      <c r="A870">
        <f t="shared" ca="1" si="39"/>
        <v>1.486909373018785</v>
      </c>
      <c r="B870">
        <f t="shared" ca="1" si="40"/>
        <v>0.54387866684576802</v>
      </c>
      <c r="C870">
        <f t="shared" ca="1" si="41"/>
        <v>1.3273769511298981</v>
      </c>
    </row>
    <row r="871" spans="1:3" x14ac:dyDescent="0.25">
      <c r="A871">
        <f t="shared" ca="1" si="39"/>
        <v>0.87764188161108203</v>
      </c>
      <c r="B871">
        <f t="shared" ca="1" si="40"/>
        <v>1.3766096216266246</v>
      </c>
      <c r="C871">
        <f t="shared" ca="1" si="41"/>
        <v>0.67726312711365655</v>
      </c>
    </row>
    <row r="872" spans="1:3" x14ac:dyDescent="0.25">
      <c r="A872">
        <f t="shared" ca="1" si="39"/>
        <v>-0.3198870826097765</v>
      </c>
      <c r="B872">
        <f t="shared" ca="1" si="40"/>
        <v>-0.53051222940457587</v>
      </c>
      <c r="C872">
        <f t="shared" ca="1" si="41"/>
        <v>8.0655678211227155E-2</v>
      </c>
    </row>
    <row r="873" spans="1:3" x14ac:dyDescent="0.25">
      <c r="A873">
        <f t="shared" ca="1" si="39"/>
        <v>-0.49429050090516669</v>
      </c>
      <c r="B873">
        <f t="shared" ca="1" si="40"/>
        <v>-1.3442308797952607</v>
      </c>
      <c r="C873">
        <f t="shared" ca="1" si="41"/>
        <v>-0.23135252879619023</v>
      </c>
    </row>
    <row r="874" spans="1:3" x14ac:dyDescent="0.25">
      <c r="A874">
        <f t="shared" ca="1" si="39"/>
        <v>-8.6961530175232268E-2</v>
      </c>
      <c r="B874">
        <f t="shared" ca="1" si="40"/>
        <v>-0.70660755279231169</v>
      </c>
      <c r="C874">
        <f t="shared" ca="1" si="41"/>
        <v>0.57174299713764676</v>
      </c>
    </row>
    <row r="875" spans="1:3" x14ac:dyDescent="0.25">
      <c r="A875">
        <f t="shared" ca="1" si="39"/>
        <v>1.4447735025424973</v>
      </c>
      <c r="B875">
        <f t="shared" ca="1" si="40"/>
        <v>1.8259157323826214</v>
      </c>
      <c r="C875">
        <f t="shared" ca="1" si="41"/>
        <v>1.4261823254681265</v>
      </c>
    </row>
    <row r="876" spans="1:3" x14ac:dyDescent="0.25">
      <c r="A876">
        <f t="shared" ca="1" si="39"/>
        <v>-1.0884362317108711</v>
      </c>
      <c r="B876">
        <f t="shared" ca="1" si="40"/>
        <v>-0.4829465277894886</v>
      </c>
      <c r="C876">
        <f t="shared" ca="1" si="41"/>
        <v>0.49577981920987757</v>
      </c>
    </row>
    <row r="877" spans="1:3" x14ac:dyDescent="0.25">
      <c r="A877">
        <f t="shared" ca="1" si="39"/>
        <v>-0.35007485509716185</v>
      </c>
      <c r="B877">
        <f t="shared" ca="1" si="40"/>
        <v>-0.80851250441488953</v>
      </c>
      <c r="C877">
        <f t="shared" ca="1" si="41"/>
        <v>-0.18465960175475571</v>
      </c>
    </row>
    <row r="878" spans="1:3" x14ac:dyDescent="0.25">
      <c r="A878">
        <f t="shared" ca="1" si="39"/>
        <v>-0.23109003818867566</v>
      </c>
      <c r="B878">
        <f t="shared" ca="1" si="40"/>
        <v>0.17908986166828339</v>
      </c>
      <c r="C878">
        <f t="shared" ca="1" si="41"/>
        <v>-0.46126435878121175</v>
      </c>
    </row>
    <row r="879" spans="1:3" x14ac:dyDescent="0.25">
      <c r="A879">
        <f t="shared" ca="1" si="39"/>
        <v>1.3970432247798754</v>
      </c>
      <c r="B879">
        <f t="shared" ca="1" si="40"/>
        <v>0.65380004766085098</v>
      </c>
      <c r="C879">
        <f t="shared" ca="1" si="41"/>
        <v>1.0357099906649148</v>
      </c>
    </row>
    <row r="880" spans="1:3" x14ac:dyDescent="0.25">
      <c r="A880">
        <f t="shared" ca="1" si="39"/>
        <v>0.22872594677512723</v>
      </c>
      <c r="B880">
        <f t="shared" ca="1" si="40"/>
        <v>-0.14869986633356685</v>
      </c>
      <c r="C880">
        <f t="shared" ca="1" si="41"/>
        <v>0.86552395540692428</v>
      </c>
    </row>
    <row r="881" spans="1:3" x14ac:dyDescent="0.25">
      <c r="A881">
        <f t="shared" ca="1" si="39"/>
        <v>-0.61524828756110739</v>
      </c>
      <c r="B881">
        <f t="shared" ca="1" si="40"/>
        <v>-1.1703645453779727</v>
      </c>
      <c r="C881">
        <f t="shared" ca="1" si="41"/>
        <v>0.24800609725248607</v>
      </c>
    </row>
    <row r="882" spans="1:3" x14ac:dyDescent="0.25">
      <c r="A882">
        <f t="shared" ca="1" si="39"/>
        <v>-1.1627417651025573</v>
      </c>
      <c r="B882">
        <f t="shared" ca="1" si="40"/>
        <v>2.6539199616860576E-2</v>
      </c>
      <c r="C882">
        <f t="shared" ca="1" si="41"/>
        <v>-0.5814573677143049</v>
      </c>
    </row>
    <row r="883" spans="1:3" x14ac:dyDescent="0.25">
      <c r="A883">
        <f t="shared" ca="1" si="39"/>
        <v>0.4497777649137471</v>
      </c>
      <c r="B883">
        <f t="shared" ca="1" si="40"/>
        <v>0.38612068411136852</v>
      </c>
      <c r="C883">
        <f t="shared" ca="1" si="41"/>
        <v>5.9480055084034811E-2</v>
      </c>
    </row>
    <row r="884" spans="1:3" x14ac:dyDescent="0.25">
      <c r="A884">
        <f t="shared" ca="1" si="39"/>
        <v>0.73174197491525528</v>
      </c>
      <c r="B884">
        <f t="shared" ca="1" si="40"/>
        <v>0.59473003098181398</v>
      </c>
      <c r="C884">
        <f t="shared" ca="1" si="41"/>
        <v>1.0915389066116234</v>
      </c>
    </row>
    <row r="885" spans="1:3" x14ac:dyDescent="0.25">
      <c r="A885">
        <f t="shared" ca="1" si="39"/>
        <v>-0.33893943761724554</v>
      </c>
      <c r="B885">
        <f t="shared" ca="1" si="40"/>
        <v>-0.22314029372491301</v>
      </c>
      <c r="C885">
        <f t="shared" ca="1" si="41"/>
        <v>-0.31768858192562233</v>
      </c>
    </row>
    <row r="886" spans="1:3" x14ac:dyDescent="0.25">
      <c r="A886">
        <f t="shared" ca="1" si="39"/>
        <v>0.11047216509196191</v>
      </c>
      <c r="B886">
        <f t="shared" ca="1" si="40"/>
        <v>-0.90647449309397798</v>
      </c>
      <c r="C886">
        <f t="shared" ca="1" si="41"/>
        <v>-0.10140685155839027</v>
      </c>
    </row>
    <row r="887" spans="1:3" x14ac:dyDescent="0.25">
      <c r="A887">
        <f t="shared" ca="1" si="39"/>
        <v>0.39178385177192693</v>
      </c>
      <c r="B887">
        <f t="shared" ca="1" si="40"/>
        <v>0.27003232838874774</v>
      </c>
      <c r="C887">
        <f t="shared" ca="1" si="41"/>
        <v>1.8119049589538867</v>
      </c>
    </row>
    <row r="888" spans="1:3" x14ac:dyDescent="0.25">
      <c r="A888">
        <f t="shared" ca="1" si="39"/>
        <v>-0.51525186760535646</v>
      </c>
      <c r="B888">
        <f t="shared" ca="1" si="40"/>
        <v>-0.24339627979045686</v>
      </c>
      <c r="C888">
        <f t="shared" ca="1" si="41"/>
        <v>0.8545293317730791</v>
      </c>
    </row>
    <row r="889" spans="1:3" x14ac:dyDescent="0.25">
      <c r="A889">
        <f t="shared" ca="1" si="39"/>
        <v>0.53747620374780858</v>
      </c>
      <c r="B889">
        <f t="shared" ca="1" si="40"/>
        <v>0.83160903696528865</v>
      </c>
      <c r="C889">
        <f t="shared" ca="1" si="41"/>
        <v>-0.4810376498802274</v>
      </c>
    </row>
    <row r="890" spans="1:3" x14ac:dyDescent="0.25">
      <c r="A890">
        <f t="shared" ca="1" si="39"/>
        <v>0.17499030244495958</v>
      </c>
      <c r="B890">
        <f t="shared" ca="1" si="40"/>
        <v>0.34570504057034818</v>
      </c>
      <c r="C890">
        <f t="shared" ca="1" si="41"/>
        <v>0.72097659306442297</v>
      </c>
    </row>
    <row r="891" spans="1:3" x14ac:dyDescent="0.25">
      <c r="A891">
        <f t="shared" ca="1" si="39"/>
        <v>-0.95083248256102537</v>
      </c>
      <c r="B891">
        <f t="shared" ca="1" si="40"/>
        <v>-0.53699672403154253</v>
      </c>
      <c r="C891">
        <f t="shared" ca="1" si="41"/>
        <v>-0.57261621509299543</v>
      </c>
    </row>
    <row r="892" spans="1:3" x14ac:dyDescent="0.25">
      <c r="A892">
        <f t="shared" ca="1" si="39"/>
        <v>0.62095559046574511</v>
      </c>
      <c r="B892">
        <f t="shared" ca="1" si="40"/>
        <v>1.3009468395885033</v>
      </c>
      <c r="C892">
        <f t="shared" ca="1" si="41"/>
        <v>-0.94381296233304701</v>
      </c>
    </row>
    <row r="893" spans="1:3" x14ac:dyDescent="0.25">
      <c r="A893">
        <f t="shared" ca="1" si="39"/>
        <v>0.37951313830030464</v>
      </c>
      <c r="B893">
        <f t="shared" ca="1" si="40"/>
        <v>0.40692420923784955</v>
      </c>
      <c r="C893">
        <f t="shared" ca="1" si="41"/>
        <v>0.34173724967136243</v>
      </c>
    </row>
    <row r="894" spans="1:3" x14ac:dyDescent="0.25">
      <c r="A894">
        <f t="shared" ca="1" si="39"/>
        <v>-0.53804087244667309</v>
      </c>
      <c r="B894">
        <f t="shared" ca="1" si="40"/>
        <v>-0.28415181898412611</v>
      </c>
      <c r="C894">
        <f t="shared" ca="1" si="41"/>
        <v>-1.1315196310798392</v>
      </c>
    </row>
    <row r="895" spans="1:3" x14ac:dyDescent="0.25">
      <c r="A895">
        <f t="shared" ca="1" si="39"/>
        <v>0.46019719446956625</v>
      </c>
      <c r="B895">
        <f t="shared" ca="1" si="40"/>
        <v>-1.9369379986089252</v>
      </c>
      <c r="C895">
        <f t="shared" ca="1" si="41"/>
        <v>-1.3965303380147409</v>
      </c>
    </row>
    <row r="896" spans="1:3" x14ac:dyDescent="0.25">
      <c r="A896">
        <f t="shared" ca="1" si="39"/>
        <v>-0.52905181130636525</v>
      </c>
      <c r="B896">
        <f t="shared" ca="1" si="40"/>
        <v>0.58191718681703342</v>
      </c>
      <c r="C896">
        <f t="shared" ca="1" si="41"/>
        <v>-8.909997999493291E-2</v>
      </c>
    </row>
    <row r="897" spans="1:3" x14ac:dyDescent="0.25">
      <c r="A897">
        <f t="shared" ca="1" si="39"/>
        <v>1.2595821666108951</v>
      </c>
      <c r="B897">
        <f t="shared" ca="1" si="40"/>
        <v>-0.32625621334573873</v>
      </c>
      <c r="C897">
        <f t="shared" ca="1" si="41"/>
        <v>2.2015669749263567</v>
      </c>
    </row>
    <row r="898" spans="1:3" x14ac:dyDescent="0.25">
      <c r="A898">
        <f t="shared" ca="1" si="39"/>
        <v>-0.24014859926873855</v>
      </c>
      <c r="B898">
        <f t="shared" ca="1" si="40"/>
        <v>-1.3126508837082649</v>
      </c>
      <c r="C898">
        <f t="shared" ca="1" si="41"/>
        <v>0.22499366562991124</v>
      </c>
    </row>
    <row r="899" spans="1:3" x14ac:dyDescent="0.25">
      <c r="A899">
        <f t="shared" ca="1" si="39"/>
        <v>1.7341233377975589E-2</v>
      </c>
      <c r="B899">
        <f t="shared" ca="1" si="40"/>
        <v>0.27374785867533041</v>
      </c>
      <c r="C899">
        <f t="shared" ca="1" si="41"/>
        <v>0.14995786210111187</v>
      </c>
    </row>
    <row r="900" spans="1:3" x14ac:dyDescent="0.25">
      <c r="A900">
        <f t="shared" ca="1" si="39"/>
        <v>-1.2097023356307728</v>
      </c>
      <c r="B900">
        <f t="shared" ca="1" si="40"/>
        <v>-0.44260524444878774</v>
      </c>
      <c r="C900">
        <f t="shared" ca="1" si="41"/>
        <v>-1.0484933805048724</v>
      </c>
    </row>
    <row r="901" spans="1:3" x14ac:dyDescent="0.25">
      <c r="A901">
        <f t="shared" ca="1" si="39"/>
        <v>0.61496067693378687</v>
      </c>
      <c r="B901">
        <f t="shared" ca="1" si="40"/>
        <v>-0.48718728328553762</v>
      </c>
      <c r="C901">
        <f t="shared" ca="1" si="41"/>
        <v>0.20424939533246964</v>
      </c>
    </row>
    <row r="902" spans="1:3" x14ac:dyDescent="0.25">
      <c r="A902">
        <f t="shared" ref="A902:A945" ca="1" si="42">NORMSINV(RAND())</f>
        <v>0.22606910405590763</v>
      </c>
      <c r="B902">
        <f t="shared" ref="B902:B945" ca="1" si="43">A902*SQRT($B$2)+SQRT(1-$B$2)*NORMSINV(RAND())</f>
        <v>-0.28227363364235952</v>
      </c>
      <c r="C902">
        <f t="shared" ref="C902:C945" ca="1" si="44">A902*SQRT($B$2)+SQRT(1-$B$2)*NORMSINV(RAND())</f>
        <v>0.93305300922248313</v>
      </c>
    </row>
    <row r="903" spans="1:3" x14ac:dyDescent="0.25">
      <c r="A903">
        <f t="shared" ca="1" si="42"/>
        <v>-1.6017165217197529</v>
      </c>
      <c r="B903">
        <f t="shared" ca="1" si="43"/>
        <v>-1.831644077310244</v>
      </c>
      <c r="C903">
        <f t="shared" ca="1" si="44"/>
        <v>-1.8119810262289247</v>
      </c>
    </row>
    <row r="904" spans="1:3" x14ac:dyDescent="0.25">
      <c r="A904">
        <f t="shared" ca="1" si="42"/>
        <v>-0.72377055074497532</v>
      </c>
      <c r="B904">
        <f t="shared" ca="1" si="43"/>
        <v>-4.7175838890216759E-2</v>
      </c>
      <c r="C904">
        <f t="shared" ca="1" si="44"/>
        <v>0.63482424319661102</v>
      </c>
    </row>
    <row r="905" spans="1:3" x14ac:dyDescent="0.25">
      <c r="A905">
        <f t="shared" ca="1" si="42"/>
        <v>-1.9075801624636666</v>
      </c>
      <c r="B905">
        <f t="shared" ca="1" si="43"/>
        <v>-1.3768440723428219</v>
      </c>
      <c r="C905">
        <f t="shared" ca="1" si="44"/>
        <v>-0.72651166249375387</v>
      </c>
    </row>
    <row r="906" spans="1:3" x14ac:dyDescent="0.25">
      <c r="A906">
        <f t="shared" ca="1" si="42"/>
        <v>-2.1540787384419411</v>
      </c>
      <c r="B906">
        <f t="shared" ca="1" si="43"/>
        <v>-2.2307925791216752</v>
      </c>
      <c r="C906">
        <f t="shared" ca="1" si="44"/>
        <v>-2.7395507563125197</v>
      </c>
    </row>
    <row r="907" spans="1:3" x14ac:dyDescent="0.25">
      <c r="A907">
        <f t="shared" ca="1" si="42"/>
        <v>0.12876842150931619</v>
      </c>
      <c r="B907">
        <f t="shared" ca="1" si="43"/>
        <v>1.0863330481753336E-2</v>
      </c>
      <c r="C907">
        <f t="shared" ca="1" si="44"/>
        <v>0.31487009265232713</v>
      </c>
    </row>
    <row r="908" spans="1:3" x14ac:dyDescent="0.25">
      <c r="A908">
        <f t="shared" ca="1" si="42"/>
        <v>-6.2605934135985433E-2</v>
      </c>
      <c r="B908">
        <f t="shared" ca="1" si="43"/>
        <v>-0.98940418822319598</v>
      </c>
      <c r="C908">
        <f t="shared" ca="1" si="44"/>
        <v>-0.54990553519312102</v>
      </c>
    </row>
    <row r="909" spans="1:3" x14ac:dyDescent="0.25">
      <c r="A909">
        <f t="shared" ca="1" si="42"/>
        <v>-2.0212281727260675</v>
      </c>
      <c r="B909">
        <f t="shared" ca="1" si="43"/>
        <v>-0.89686867294549433</v>
      </c>
      <c r="C909">
        <f t="shared" ca="1" si="44"/>
        <v>-3.3604714057744172</v>
      </c>
    </row>
    <row r="910" spans="1:3" x14ac:dyDescent="0.25">
      <c r="A910">
        <f t="shared" ca="1" si="42"/>
        <v>0.24598833325282091</v>
      </c>
      <c r="B910">
        <f t="shared" ca="1" si="43"/>
        <v>-0.36167613666520315</v>
      </c>
      <c r="C910">
        <f t="shared" ca="1" si="44"/>
        <v>-0.32477141200358761</v>
      </c>
    </row>
    <row r="911" spans="1:3" x14ac:dyDescent="0.25">
      <c r="A911">
        <f t="shared" ca="1" si="42"/>
        <v>0.6706041020122524</v>
      </c>
      <c r="B911">
        <f t="shared" ca="1" si="43"/>
        <v>-0.27730555478222951</v>
      </c>
      <c r="C911">
        <f t="shared" ca="1" si="44"/>
        <v>-0.22785733893354154</v>
      </c>
    </row>
    <row r="912" spans="1:3" x14ac:dyDescent="0.25">
      <c r="A912">
        <f t="shared" ca="1" si="42"/>
        <v>0.3677409009851339</v>
      </c>
      <c r="B912">
        <f t="shared" ca="1" si="43"/>
        <v>0.1007034384684434</v>
      </c>
      <c r="C912">
        <f t="shared" ca="1" si="44"/>
        <v>0.37415794858343815</v>
      </c>
    </row>
    <row r="913" spans="1:3" x14ac:dyDescent="0.25">
      <c r="A913">
        <f t="shared" ca="1" si="42"/>
        <v>-0.63175365798113503</v>
      </c>
      <c r="B913">
        <f t="shared" ca="1" si="43"/>
        <v>-0.27045351754902447</v>
      </c>
      <c r="C913">
        <f t="shared" ca="1" si="44"/>
        <v>-0.49100357176084147</v>
      </c>
    </row>
    <row r="914" spans="1:3" x14ac:dyDescent="0.25">
      <c r="A914">
        <f t="shared" ca="1" si="42"/>
        <v>-0.42988298824233673</v>
      </c>
      <c r="B914">
        <f t="shared" ca="1" si="43"/>
        <v>-0.46181436385583752</v>
      </c>
      <c r="C914">
        <f t="shared" ca="1" si="44"/>
        <v>-1.1263157065704088</v>
      </c>
    </row>
    <row r="915" spans="1:3" x14ac:dyDescent="0.25">
      <c r="A915">
        <f t="shared" ca="1" si="42"/>
        <v>1.7556506228587636</v>
      </c>
      <c r="B915">
        <f t="shared" ca="1" si="43"/>
        <v>-0.14530137512779584</v>
      </c>
      <c r="C915">
        <f t="shared" ca="1" si="44"/>
        <v>-0.41696897909743957</v>
      </c>
    </row>
    <row r="916" spans="1:3" x14ac:dyDescent="0.25">
      <c r="A916">
        <f t="shared" ca="1" si="42"/>
        <v>-1.121333820374506</v>
      </c>
      <c r="B916">
        <f t="shared" ca="1" si="43"/>
        <v>-0.94390207553422534</v>
      </c>
      <c r="C916">
        <f t="shared" ca="1" si="44"/>
        <v>-9.3859426717375238E-2</v>
      </c>
    </row>
    <row r="917" spans="1:3" x14ac:dyDescent="0.25">
      <c r="A917">
        <f t="shared" ca="1" si="42"/>
        <v>-0.28563475873319366</v>
      </c>
      <c r="B917">
        <f t="shared" ca="1" si="43"/>
        <v>0.20745457416889426</v>
      </c>
      <c r="C917">
        <f t="shared" ca="1" si="44"/>
        <v>0.17808494196273986</v>
      </c>
    </row>
    <row r="918" spans="1:3" x14ac:dyDescent="0.25">
      <c r="A918">
        <f t="shared" ca="1" si="42"/>
        <v>-0.35921054001421909</v>
      </c>
      <c r="B918">
        <f t="shared" ca="1" si="43"/>
        <v>-1.5750705780659275</v>
      </c>
      <c r="C918">
        <f t="shared" ca="1" si="44"/>
        <v>-1.3297471262426883</v>
      </c>
    </row>
    <row r="919" spans="1:3" x14ac:dyDescent="0.25">
      <c r="A919">
        <f t="shared" ca="1" si="42"/>
        <v>-0.67775826289969388</v>
      </c>
      <c r="B919">
        <f t="shared" ca="1" si="43"/>
        <v>-0.81317486964202668</v>
      </c>
      <c r="C919">
        <f t="shared" ca="1" si="44"/>
        <v>0.14649985238767016</v>
      </c>
    </row>
    <row r="920" spans="1:3" x14ac:dyDescent="0.25">
      <c r="A920">
        <f t="shared" ca="1" si="42"/>
        <v>0.57736388695750451</v>
      </c>
      <c r="B920">
        <f t="shared" ca="1" si="43"/>
        <v>1.4121007911139467</v>
      </c>
      <c r="C920">
        <f t="shared" ca="1" si="44"/>
        <v>0.25572862832104454</v>
      </c>
    </row>
    <row r="921" spans="1:3" x14ac:dyDescent="0.25">
      <c r="A921">
        <f t="shared" ca="1" si="42"/>
        <v>-0.40959291626466504</v>
      </c>
      <c r="B921">
        <f t="shared" ca="1" si="43"/>
        <v>0.1438764387483214</v>
      </c>
      <c r="C921">
        <f t="shared" ca="1" si="44"/>
        <v>0.21506127378754192</v>
      </c>
    </row>
    <row r="922" spans="1:3" x14ac:dyDescent="0.25">
      <c r="A922">
        <f t="shared" ca="1" si="42"/>
        <v>0.45134561957017949</v>
      </c>
      <c r="B922">
        <f t="shared" ca="1" si="43"/>
        <v>1.3651514308808519</v>
      </c>
      <c r="C922">
        <f t="shared" ca="1" si="44"/>
        <v>-0.9112812813573602</v>
      </c>
    </row>
    <row r="923" spans="1:3" x14ac:dyDescent="0.25">
      <c r="A923">
        <f t="shared" ca="1" si="42"/>
        <v>0.27181719995899994</v>
      </c>
      <c r="B923">
        <f t="shared" ca="1" si="43"/>
        <v>7.6721698416513384E-3</v>
      </c>
      <c r="C923">
        <f t="shared" ca="1" si="44"/>
        <v>-1.2659960725354398</v>
      </c>
    </row>
    <row r="924" spans="1:3" x14ac:dyDescent="0.25">
      <c r="A924">
        <f t="shared" ca="1" si="42"/>
        <v>0.86370153599956156</v>
      </c>
      <c r="B924">
        <f t="shared" ca="1" si="43"/>
        <v>1.2460777485870269</v>
      </c>
      <c r="C924">
        <f t="shared" ca="1" si="44"/>
        <v>0.73513802168317999</v>
      </c>
    </row>
    <row r="925" spans="1:3" x14ac:dyDescent="0.25">
      <c r="A925">
        <f t="shared" ca="1" si="42"/>
        <v>1.0184020331846089</v>
      </c>
      <c r="B925">
        <f t="shared" ca="1" si="43"/>
        <v>0.85262606437500466</v>
      </c>
      <c r="C925">
        <f t="shared" ca="1" si="44"/>
        <v>1.0931820383429862</v>
      </c>
    </row>
    <row r="926" spans="1:3" x14ac:dyDescent="0.25">
      <c r="A926">
        <f t="shared" ca="1" si="42"/>
        <v>0.78972458421725789</v>
      </c>
      <c r="B926">
        <f t="shared" ca="1" si="43"/>
        <v>0.74845485084246555</v>
      </c>
      <c r="C926">
        <f t="shared" ca="1" si="44"/>
        <v>0.36489957193884609</v>
      </c>
    </row>
    <row r="927" spans="1:3" x14ac:dyDescent="0.25">
      <c r="A927">
        <f t="shared" ca="1" si="42"/>
        <v>0.82267425474160205</v>
      </c>
      <c r="B927">
        <f t="shared" ca="1" si="43"/>
        <v>0.37686814525401291</v>
      </c>
      <c r="C927">
        <f t="shared" ca="1" si="44"/>
        <v>0.36387988856134651</v>
      </c>
    </row>
    <row r="928" spans="1:3" x14ac:dyDescent="0.25">
      <c r="A928">
        <f t="shared" ca="1" si="42"/>
        <v>1.1042604328359755</v>
      </c>
      <c r="B928">
        <f t="shared" ca="1" si="43"/>
        <v>2.8948376447292077</v>
      </c>
      <c r="C928">
        <f t="shared" ca="1" si="44"/>
        <v>3.7325565271889349E-2</v>
      </c>
    </row>
    <row r="929" spans="1:3" x14ac:dyDescent="0.25">
      <c r="A929">
        <f t="shared" ca="1" si="42"/>
        <v>8.5963400239834079E-2</v>
      </c>
      <c r="B929">
        <f t="shared" ca="1" si="43"/>
        <v>-0.37477019879662538</v>
      </c>
      <c r="C929">
        <f t="shared" ca="1" si="44"/>
        <v>-1.0193749387201756</v>
      </c>
    </row>
    <row r="930" spans="1:3" x14ac:dyDescent="0.25">
      <c r="A930">
        <f t="shared" ca="1" si="42"/>
        <v>7.1774808415838234E-2</v>
      </c>
      <c r="B930">
        <f t="shared" ca="1" si="43"/>
        <v>7.2602754510323719E-2</v>
      </c>
      <c r="C930">
        <f t="shared" ca="1" si="44"/>
        <v>0.5905065676798803</v>
      </c>
    </row>
    <row r="931" spans="1:3" x14ac:dyDescent="0.25">
      <c r="A931">
        <f t="shared" ca="1" si="42"/>
        <v>-1.1187482813272775</v>
      </c>
      <c r="B931">
        <f t="shared" ca="1" si="43"/>
        <v>-1.3558808910031415</v>
      </c>
      <c r="C931">
        <f t="shared" ca="1" si="44"/>
        <v>0.47768220688625662</v>
      </c>
    </row>
    <row r="932" spans="1:3" x14ac:dyDescent="0.25">
      <c r="A932">
        <f t="shared" ca="1" si="42"/>
        <v>0.77990579480471212</v>
      </c>
      <c r="B932">
        <f t="shared" ca="1" si="43"/>
        <v>0.66973355627757103</v>
      </c>
      <c r="C932">
        <f t="shared" ca="1" si="44"/>
        <v>1.525972376555264</v>
      </c>
    </row>
    <row r="933" spans="1:3" x14ac:dyDescent="0.25">
      <c r="A933">
        <f t="shared" ca="1" si="42"/>
        <v>-1.149184722569075</v>
      </c>
      <c r="B933">
        <f t="shared" ca="1" si="43"/>
        <v>-1.784656711063024</v>
      </c>
      <c r="C933">
        <f t="shared" ca="1" si="44"/>
        <v>-0.75793135369135167</v>
      </c>
    </row>
    <row r="934" spans="1:3" x14ac:dyDescent="0.25">
      <c r="A934">
        <f t="shared" ca="1" si="42"/>
        <v>-2.1885917892137381</v>
      </c>
      <c r="B934">
        <f t="shared" ca="1" si="43"/>
        <v>-0.73876239295473922</v>
      </c>
      <c r="C934">
        <f t="shared" ca="1" si="44"/>
        <v>-1.3195932641859953</v>
      </c>
    </row>
    <row r="935" spans="1:3" x14ac:dyDescent="0.25">
      <c r="A935">
        <f t="shared" ca="1" si="42"/>
        <v>-0.5688449316773474</v>
      </c>
      <c r="B935">
        <f t="shared" ca="1" si="43"/>
        <v>-1.314811219049983</v>
      </c>
      <c r="C935">
        <f t="shared" ca="1" si="44"/>
        <v>0.24669909235697102</v>
      </c>
    </row>
    <row r="936" spans="1:3" x14ac:dyDescent="0.25">
      <c r="A936">
        <f t="shared" ca="1" si="42"/>
        <v>0.55935148685013514</v>
      </c>
      <c r="B936">
        <f t="shared" ca="1" si="43"/>
        <v>1.6905671457101983</v>
      </c>
      <c r="C936">
        <f t="shared" ca="1" si="44"/>
        <v>1.5576502898963156</v>
      </c>
    </row>
    <row r="937" spans="1:3" x14ac:dyDescent="0.25">
      <c r="A937">
        <f t="shared" ca="1" si="42"/>
        <v>-0.11548955376596345</v>
      </c>
      <c r="B937">
        <f t="shared" ca="1" si="43"/>
        <v>-1.3086325485517789</v>
      </c>
      <c r="C937">
        <f t="shared" ca="1" si="44"/>
        <v>0.86114904881771037</v>
      </c>
    </row>
    <row r="938" spans="1:3" x14ac:dyDescent="0.25">
      <c r="A938">
        <f t="shared" ca="1" si="42"/>
        <v>-1.9938973902351473</v>
      </c>
      <c r="B938">
        <f t="shared" ca="1" si="43"/>
        <v>-0.8008120548287192</v>
      </c>
      <c r="C938">
        <f t="shared" ca="1" si="44"/>
        <v>-1.3696582317826422</v>
      </c>
    </row>
    <row r="939" spans="1:3" x14ac:dyDescent="0.25">
      <c r="A939">
        <f t="shared" ca="1" si="42"/>
        <v>0.1217172257865872</v>
      </c>
      <c r="B939">
        <f t="shared" ca="1" si="43"/>
        <v>-1.0117519339208112</v>
      </c>
      <c r="C939">
        <f t="shared" ca="1" si="44"/>
        <v>0.32781942001018943</v>
      </c>
    </row>
    <row r="940" spans="1:3" x14ac:dyDescent="0.25">
      <c r="A940">
        <f t="shared" ca="1" si="42"/>
        <v>-0.59135428104399312</v>
      </c>
      <c r="B940">
        <f t="shared" ca="1" si="43"/>
        <v>0.25469404374449672</v>
      </c>
      <c r="C940">
        <f t="shared" ca="1" si="44"/>
        <v>-0.10369426730949294</v>
      </c>
    </row>
    <row r="941" spans="1:3" x14ac:dyDescent="0.25">
      <c r="A941">
        <f t="shared" ca="1" si="42"/>
        <v>0.67434915440043119</v>
      </c>
      <c r="B941">
        <f t="shared" ca="1" si="43"/>
        <v>-0.9593708666100097</v>
      </c>
      <c r="C941">
        <f t="shared" ca="1" si="44"/>
        <v>-0.64115508159381773</v>
      </c>
    </row>
    <row r="942" spans="1:3" x14ac:dyDescent="0.25">
      <c r="A942">
        <f t="shared" ca="1" si="42"/>
        <v>0.62544011226751439</v>
      </c>
      <c r="B942">
        <f t="shared" ca="1" si="43"/>
        <v>-0.76222050953909748</v>
      </c>
      <c r="C942">
        <f t="shared" ca="1" si="44"/>
        <v>-0.46423964722747979</v>
      </c>
    </row>
    <row r="943" spans="1:3" x14ac:dyDescent="0.25">
      <c r="A943">
        <f t="shared" ca="1" si="42"/>
        <v>-0.16339573703699931</v>
      </c>
      <c r="B943">
        <f t="shared" ca="1" si="43"/>
        <v>0.75503490423286335</v>
      </c>
      <c r="C943">
        <f t="shared" ca="1" si="44"/>
        <v>-0.42207715360496167</v>
      </c>
    </row>
    <row r="944" spans="1:3" x14ac:dyDescent="0.25">
      <c r="A944">
        <f t="shared" ca="1" si="42"/>
        <v>-0.89045758925376972</v>
      </c>
      <c r="B944">
        <f t="shared" ca="1" si="43"/>
        <v>6.2157676494681957E-2</v>
      </c>
      <c r="C944">
        <f t="shared" ca="1" si="44"/>
        <v>-0.18560504922360921</v>
      </c>
    </row>
    <row r="945" spans="1:3" x14ac:dyDescent="0.25">
      <c r="A945">
        <f t="shared" ca="1" si="42"/>
        <v>-0.33095253904178212</v>
      </c>
      <c r="B945">
        <f t="shared" ca="1" si="43"/>
        <v>6.4366087463461119E-2</v>
      </c>
      <c r="C945">
        <f t="shared" ca="1" si="44"/>
        <v>-0.97692164838431839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D7F59-821F-4E62-8A11-BEFFFA379C82}">
  <sheetPr codeName="Sheet17"/>
  <dimension ref="B1:M41"/>
  <sheetViews>
    <sheetView showGridLines="0" zoomScale="110" zoomScaleNormal="110" workbookViewId="0">
      <pane ySplit="7" topLeftCell="A8" activePane="bottomLeft" state="frozen"/>
      <selection pane="bottomLeft" activeCell="E16" sqref="E16"/>
    </sheetView>
  </sheetViews>
  <sheetFormatPr defaultRowHeight="13.2" x14ac:dyDescent="0.25"/>
  <cols>
    <col min="1" max="1" width="8.88671875" style="2"/>
    <col min="2" max="2" width="28.33203125" style="2" customWidth="1"/>
    <col min="3" max="3" width="11.44140625" style="2" customWidth="1"/>
    <col min="4" max="4" width="9.6640625" style="2" customWidth="1"/>
    <col min="5" max="9" width="8.88671875" style="2"/>
    <col min="10" max="10" width="14.88671875" style="2" bestFit="1" customWidth="1"/>
    <col min="11" max="11" width="13.5546875" style="2" bestFit="1" customWidth="1"/>
    <col min="12" max="257" width="8.88671875" style="2"/>
    <col min="258" max="258" width="28.33203125" style="2" customWidth="1"/>
    <col min="259" max="259" width="11.44140625" style="2" customWidth="1"/>
    <col min="260" max="260" width="9.6640625" style="2" customWidth="1"/>
    <col min="261" max="265" width="8.88671875" style="2"/>
    <col min="266" max="266" width="14.88671875" style="2" bestFit="1" customWidth="1"/>
    <col min="267" max="267" width="13.5546875" style="2" bestFit="1" customWidth="1"/>
    <col min="268" max="513" width="8.88671875" style="2"/>
    <col min="514" max="514" width="28.33203125" style="2" customWidth="1"/>
    <col min="515" max="515" width="11.44140625" style="2" customWidth="1"/>
    <col min="516" max="516" width="9.6640625" style="2" customWidth="1"/>
    <col min="517" max="521" width="8.88671875" style="2"/>
    <col min="522" max="522" width="14.88671875" style="2" bestFit="1" customWidth="1"/>
    <col min="523" max="523" width="13.5546875" style="2" bestFit="1" customWidth="1"/>
    <col min="524" max="769" width="8.88671875" style="2"/>
    <col min="770" max="770" width="28.33203125" style="2" customWidth="1"/>
    <col min="771" max="771" width="11.44140625" style="2" customWidth="1"/>
    <col min="772" max="772" width="9.6640625" style="2" customWidth="1"/>
    <col min="773" max="777" width="8.88671875" style="2"/>
    <col min="778" max="778" width="14.88671875" style="2" bestFit="1" customWidth="1"/>
    <col min="779" max="779" width="13.5546875" style="2" bestFit="1" customWidth="1"/>
    <col min="780" max="1025" width="8.88671875" style="2"/>
    <col min="1026" max="1026" width="28.33203125" style="2" customWidth="1"/>
    <col min="1027" max="1027" width="11.44140625" style="2" customWidth="1"/>
    <col min="1028" max="1028" width="9.6640625" style="2" customWidth="1"/>
    <col min="1029" max="1033" width="8.88671875" style="2"/>
    <col min="1034" max="1034" width="14.88671875" style="2" bestFit="1" customWidth="1"/>
    <col min="1035" max="1035" width="13.5546875" style="2" bestFit="1" customWidth="1"/>
    <col min="1036" max="1281" width="8.88671875" style="2"/>
    <col min="1282" max="1282" width="28.33203125" style="2" customWidth="1"/>
    <col min="1283" max="1283" width="11.44140625" style="2" customWidth="1"/>
    <col min="1284" max="1284" width="9.6640625" style="2" customWidth="1"/>
    <col min="1285" max="1289" width="8.88671875" style="2"/>
    <col min="1290" max="1290" width="14.88671875" style="2" bestFit="1" customWidth="1"/>
    <col min="1291" max="1291" width="13.5546875" style="2" bestFit="1" customWidth="1"/>
    <col min="1292" max="1537" width="8.88671875" style="2"/>
    <col min="1538" max="1538" width="28.33203125" style="2" customWidth="1"/>
    <col min="1539" max="1539" width="11.44140625" style="2" customWidth="1"/>
    <col min="1540" max="1540" width="9.6640625" style="2" customWidth="1"/>
    <col min="1541" max="1545" width="8.88671875" style="2"/>
    <col min="1546" max="1546" width="14.88671875" style="2" bestFit="1" customWidth="1"/>
    <col min="1547" max="1547" width="13.5546875" style="2" bestFit="1" customWidth="1"/>
    <col min="1548" max="1793" width="8.88671875" style="2"/>
    <col min="1794" max="1794" width="28.33203125" style="2" customWidth="1"/>
    <col min="1795" max="1795" width="11.44140625" style="2" customWidth="1"/>
    <col min="1796" max="1796" width="9.6640625" style="2" customWidth="1"/>
    <col min="1797" max="1801" width="8.88671875" style="2"/>
    <col min="1802" max="1802" width="14.88671875" style="2" bestFit="1" customWidth="1"/>
    <col min="1803" max="1803" width="13.5546875" style="2" bestFit="1" customWidth="1"/>
    <col min="1804" max="2049" width="8.88671875" style="2"/>
    <col min="2050" max="2050" width="28.33203125" style="2" customWidth="1"/>
    <col min="2051" max="2051" width="11.44140625" style="2" customWidth="1"/>
    <col min="2052" max="2052" width="9.6640625" style="2" customWidth="1"/>
    <col min="2053" max="2057" width="8.88671875" style="2"/>
    <col min="2058" max="2058" width="14.88671875" style="2" bestFit="1" customWidth="1"/>
    <col min="2059" max="2059" width="13.5546875" style="2" bestFit="1" customWidth="1"/>
    <col min="2060" max="2305" width="8.88671875" style="2"/>
    <col min="2306" max="2306" width="28.33203125" style="2" customWidth="1"/>
    <col min="2307" max="2307" width="11.44140625" style="2" customWidth="1"/>
    <col min="2308" max="2308" width="9.6640625" style="2" customWidth="1"/>
    <col min="2309" max="2313" width="8.88671875" style="2"/>
    <col min="2314" max="2314" width="14.88671875" style="2" bestFit="1" customWidth="1"/>
    <col min="2315" max="2315" width="13.5546875" style="2" bestFit="1" customWidth="1"/>
    <col min="2316" max="2561" width="8.88671875" style="2"/>
    <col min="2562" max="2562" width="28.33203125" style="2" customWidth="1"/>
    <col min="2563" max="2563" width="11.44140625" style="2" customWidth="1"/>
    <col min="2564" max="2564" width="9.6640625" style="2" customWidth="1"/>
    <col min="2565" max="2569" width="8.88671875" style="2"/>
    <col min="2570" max="2570" width="14.88671875" style="2" bestFit="1" customWidth="1"/>
    <col min="2571" max="2571" width="13.5546875" style="2" bestFit="1" customWidth="1"/>
    <col min="2572" max="2817" width="8.88671875" style="2"/>
    <col min="2818" max="2818" width="28.33203125" style="2" customWidth="1"/>
    <col min="2819" max="2819" width="11.44140625" style="2" customWidth="1"/>
    <col min="2820" max="2820" width="9.6640625" style="2" customWidth="1"/>
    <col min="2821" max="2825" width="8.88671875" style="2"/>
    <col min="2826" max="2826" width="14.88671875" style="2" bestFit="1" customWidth="1"/>
    <col min="2827" max="2827" width="13.5546875" style="2" bestFit="1" customWidth="1"/>
    <col min="2828" max="3073" width="8.88671875" style="2"/>
    <col min="3074" max="3074" width="28.33203125" style="2" customWidth="1"/>
    <col min="3075" max="3075" width="11.44140625" style="2" customWidth="1"/>
    <col min="3076" max="3076" width="9.6640625" style="2" customWidth="1"/>
    <col min="3077" max="3081" width="8.88671875" style="2"/>
    <col min="3082" max="3082" width="14.88671875" style="2" bestFit="1" customWidth="1"/>
    <col min="3083" max="3083" width="13.5546875" style="2" bestFit="1" customWidth="1"/>
    <col min="3084" max="3329" width="8.88671875" style="2"/>
    <col min="3330" max="3330" width="28.33203125" style="2" customWidth="1"/>
    <col min="3331" max="3331" width="11.44140625" style="2" customWidth="1"/>
    <col min="3332" max="3332" width="9.6640625" style="2" customWidth="1"/>
    <col min="3333" max="3337" width="8.88671875" style="2"/>
    <col min="3338" max="3338" width="14.88671875" style="2" bestFit="1" customWidth="1"/>
    <col min="3339" max="3339" width="13.5546875" style="2" bestFit="1" customWidth="1"/>
    <col min="3340" max="3585" width="8.88671875" style="2"/>
    <col min="3586" max="3586" width="28.33203125" style="2" customWidth="1"/>
    <col min="3587" max="3587" width="11.44140625" style="2" customWidth="1"/>
    <col min="3588" max="3588" width="9.6640625" style="2" customWidth="1"/>
    <col min="3589" max="3593" width="8.88671875" style="2"/>
    <col min="3594" max="3594" width="14.88671875" style="2" bestFit="1" customWidth="1"/>
    <col min="3595" max="3595" width="13.5546875" style="2" bestFit="1" customWidth="1"/>
    <col min="3596" max="3841" width="8.88671875" style="2"/>
    <col min="3842" max="3842" width="28.33203125" style="2" customWidth="1"/>
    <col min="3843" max="3843" width="11.44140625" style="2" customWidth="1"/>
    <col min="3844" max="3844" width="9.6640625" style="2" customWidth="1"/>
    <col min="3845" max="3849" width="8.88671875" style="2"/>
    <col min="3850" max="3850" width="14.88671875" style="2" bestFit="1" customWidth="1"/>
    <col min="3851" max="3851" width="13.5546875" style="2" bestFit="1" customWidth="1"/>
    <col min="3852" max="4097" width="8.88671875" style="2"/>
    <col min="4098" max="4098" width="28.33203125" style="2" customWidth="1"/>
    <col min="4099" max="4099" width="11.44140625" style="2" customWidth="1"/>
    <col min="4100" max="4100" width="9.6640625" style="2" customWidth="1"/>
    <col min="4101" max="4105" width="8.88671875" style="2"/>
    <col min="4106" max="4106" width="14.88671875" style="2" bestFit="1" customWidth="1"/>
    <col min="4107" max="4107" width="13.5546875" style="2" bestFit="1" customWidth="1"/>
    <col min="4108" max="4353" width="8.88671875" style="2"/>
    <col min="4354" max="4354" width="28.33203125" style="2" customWidth="1"/>
    <col min="4355" max="4355" width="11.44140625" style="2" customWidth="1"/>
    <col min="4356" max="4356" width="9.6640625" style="2" customWidth="1"/>
    <col min="4357" max="4361" width="8.88671875" style="2"/>
    <col min="4362" max="4362" width="14.88671875" style="2" bestFit="1" customWidth="1"/>
    <col min="4363" max="4363" width="13.5546875" style="2" bestFit="1" customWidth="1"/>
    <col min="4364" max="4609" width="8.88671875" style="2"/>
    <col min="4610" max="4610" width="28.33203125" style="2" customWidth="1"/>
    <col min="4611" max="4611" width="11.44140625" style="2" customWidth="1"/>
    <col min="4612" max="4612" width="9.6640625" style="2" customWidth="1"/>
    <col min="4613" max="4617" width="8.88671875" style="2"/>
    <col min="4618" max="4618" width="14.88671875" style="2" bestFit="1" customWidth="1"/>
    <col min="4619" max="4619" width="13.5546875" style="2" bestFit="1" customWidth="1"/>
    <col min="4620" max="4865" width="8.88671875" style="2"/>
    <col min="4866" max="4866" width="28.33203125" style="2" customWidth="1"/>
    <col min="4867" max="4867" width="11.44140625" style="2" customWidth="1"/>
    <col min="4868" max="4868" width="9.6640625" style="2" customWidth="1"/>
    <col min="4869" max="4873" width="8.88671875" style="2"/>
    <col min="4874" max="4874" width="14.88671875" style="2" bestFit="1" customWidth="1"/>
    <col min="4875" max="4875" width="13.5546875" style="2" bestFit="1" customWidth="1"/>
    <col min="4876" max="5121" width="8.88671875" style="2"/>
    <col min="5122" max="5122" width="28.33203125" style="2" customWidth="1"/>
    <col min="5123" max="5123" width="11.44140625" style="2" customWidth="1"/>
    <col min="5124" max="5124" width="9.6640625" style="2" customWidth="1"/>
    <col min="5125" max="5129" width="8.88671875" style="2"/>
    <col min="5130" max="5130" width="14.88671875" style="2" bestFit="1" customWidth="1"/>
    <col min="5131" max="5131" width="13.5546875" style="2" bestFit="1" customWidth="1"/>
    <col min="5132" max="5377" width="8.88671875" style="2"/>
    <col min="5378" max="5378" width="28.33203125" style="2" customWidth="1"/>
    <col min="5379" max="5379" width="11.44140625" style="2" customWidth="1"/>
    <col min="5380" max="5380" width="9.6640625" style="2" customWidth="1"/>
    <col min="5381" max="5385" width="8.88671875" style="2"/>
    <col min="5386" max="5386" width="14.88671875" style="2" bestFit="1" customWidth="1"/>
    <col min="5387" max="5387" width="13.5546875" style="2" bestFit="1" customWidth="1"/>
    <col min="5388" max="5633" width="8.88671875" style="2"/>
    <col min="5634" max="5634" width="28.33203125" style="2" customWidth="1"/>
    <col min="5635" max="5635" width="11.44140625" style="2" customWidth="1"/>
    <col min="5636" max="5636" width="9.6640625" style="2" customWidth="1"/>
    <col min="5637" max="5641" width="8.88671875" style="2"/>
    <col min="5642" max="5642" width="14.88671875" style="2" bestFit="1" customWidth="1"/>
    <col min="5643" max="5643" width="13.5546875" style="2" bestFit="1" customWidth="1"/>
    <col min="5644" max="5889" width="8.88671875" style="2"/>
    <col min="5890" max="5890" width="28.33203125" style="2" customWidth="1"/>
    <col min="5891" max="5891" width="11.44140625" style="2" customWidth="1"/>
    <col min="5892" max="5892" width="9.6640625" style="2" customWidth="1"/>
    <col min="5893" max="5897" width="8.88671875" style="2"/>
    <col min="5898" max="5898" width="14.88671875" style="2" bestFit="1" customWidth="1"/>
    <col min="5899" max="5899" width="13.5546875" style="2" bestFit="1" customWidth="1"/>
    <col min="5900" max="6145" width="8.88671875" style="2"/>
    <col min="6146" max="6146" width="28.33203125" style="2" customWidth="1"/>
    <col min="6147" max="6147" width="11.44140625" style="2" customWidth="1"/>
    <col min="6148" max="6148" width="9.6640625" style="2" customWidth="1"/>
    <col min="6149" max="6153" width="8.88671875" style="2"/>
    <col min="6154" max="6154" width="14.88671875" style="2" bestFit="1" customWidth="1"/>
    <col min="6155" max="6155" width="13.5546875" style="2" bestFit="1" customWidth="1"/>
    <col min="6156" max="6401" width="8.88671875" style="2"/>
    <col min="6402" max="6402" width="28.33203125" style="2" customWidth="1"/>
    <col min="6403" max="6403" width="11.44140625" style="2" customWidth="1"/>
    <col min="6404" max="6404" width="9.6640625" style="2" customWidth="1"/>
    <col min="6405" max="6409" width="8.88671875" style="2"/>
    <col min="6410" max="6410" width="14.88671875" style="2" bestFit="1" customWidth="1"/>
    <col min="6411" max="6411" width="13.5546875" style="2" bestFit="1" customWidth="1"/>
    <col min="6412" max="6657" width="8.88671875" style="2"/>
    <col min="6658" max="6658" width="28.33203125" style="2" customWidth="1"/>
    <col min="6659" max="6659" width="11.44140625" style="2" customWidth="1"/>
    <col min="6660" max="6660" width="9.6640625" style="2" customWidth="1"/>
    <col min="6661" max="6665" width="8.88671875" style="2"/>
    <col min="6666" max="6666" width="14.88671875" style="2" bestFit="1" customWidth="1"/>
    <col min="6667" max="6667" width="13.5546875" style="2" bestFit="1" customWidth="1"/>
    <col min="6668" max="6913" width="8.88671875" style="2"/>
    <col min="6914" max="6914" width="28.33203125" style="2" customWidth="1"/>
    <col min="6915" max="6915" width="11.44140625" style="2" customWidth="1"/>
    <col min="6916" max="6916" width="9.6640625" style="2" customWidth="1"/>
    <col min="6917" max="6921" width="8.88671875" style="2"/>
    <col min="6922" max="6922" width="14.88671875" style="2" bestFit="1" customWidth="1"/>
    <col min="6923" max="6923" width="13.5546875" style="2" bestFit="1" customWidth="1"/>
    <col min="6924" max="7169" width="8.88671875" style="2"/>
    <col min="7170" max="7170" width="28.33203125" style="2" customWidth="1"/>
    <col min="7171" max="7171" width="11.44140625" style="2" customWidth="1"/>
    <col min="7172" max="7172" width="9.6640625" style="2" customWidth="1"/>
    <col min="7173" max="7177" width="8.88671875" style="2"/>
    <col min="7178" max="7178" width="14.88671875" style="2" bestFit="1" customWidth="1"/>
    <col min="7179" max="7179" width="13.5546875" style="2" bestFit="1" customWidth="1"/>
    <col min="7180" max="7425" width="8.88671875" style="2"/>
    <col min="7426" max="7426" width="28.33203125" style="2" customWidth="1"/>
    <col min="7427" max="7427" width="11.44140625" style="2" customWidth="1"/>
    <col min="7428" max="7428" width="9.6640625" style="2" customWidth="1"/>
    <col min="7429" max="7433" width="8.88671875" style="2"/>
    <col min="7434" max="7434" width="14.88671875" style="2" bestFit="1" customWidth="1"/>
    <col min="7435" max="7435" width="13.5546875" style="2" bestFit="1" customWidth="1"/>
    <col min="7436" max="7681" width="8.88671875" style="2"/>
    <col min="7682" max="7682" width="28.33203125" style="2" customWidth="1"/>
    <col min="7683" max="7683" width="11.44140625" style="2" customWidth="1"/>
    <col min="7684" max="7684" width="9.6640625" style="2" customWidth="1"/>
    <col min="7685" max="7689" width="8.88671875" style="2"/>
    <col min="7690" max="7690" width="14.88671875" style="2" bestFit="1" customWidth="1"/>
    <col min="7691" max="7691" width="13.5546875" style="2" bestFit="1" customWidth="1"/>
    <col min="7692" max="7937" width="8.88671875" style="2"/>
    <col min="7938" max="7938" width="28.33203125" style="2" customWidth="1"/>
    <col min="7939" max="7939" width="11.44140625" style="2" customWidth="1"/>
    <col min="7940" max="7940" width="9.6640625" style="2" customWidth="1"/>
    <col min="7941" max="7945" width="8.88671875" style="2"/>
    <col min="7946" max="7946" width="14.88671875" style="2" bestFit="1" customWidth="1"/>
    <col min="7947" max="7947" width="13.5546875" style="2" bestFit="1" customWidth="1"/>
    <col min="7948" max="8193" width="8.88671875" style="2"/>
    <col min="8194" max="8194" width="28.33203125" style="2" customWidth="1"/>
    <col min="8195" max="8195" width="11.44140625" style="2" customWidth="1"/>
    <col min="8196" max="8196" width="9.6640625" style="2" customWidth="1"/>
    <col min="8197" max="8201" width="8.88671875" style="2"/>
    <col min="8202" max="8202" width="14.88671875" style="2" bestFit="1" customWidth="1"/>
    <col min="8203" max="8203" width="13.5546875" style="2" bestFit="1" customWidth="1"/>
    <col min="8204" max="8449" width="8.88671875" style="2"/>
    <col min="8450" max="8450" width="28.33203125" style="2" customWidth="1"/>
    <col min="8451" max="8451" width="11.44140625" style="2" customWidth="1"/>
    <col min="8452" max="8452" width="9.6640625" style="2" customWidth="1"/>
    <col min="8453" max="8457" width="8.88671875" style="2"/>
    <col min="8458" max="8458" width="14.88671875" style="2" bestFit="1" customWidth="1"/>
    <col min="8459" max="8459" width="13.5546875" style="2" bestFit="1" customWidth="1"/>
    <col min="8460" max="8705" width="8.88671875" style="2"/>
    <col min="8706" max="8706" width="28.33203125" style="2" customWidth="1"/>
    <col min="8707" max="8707" width="11.44140625" style="2" customWidth="1"/>
    <col min="8708" max="8708" width="9.6640625" style="2" customWidth="1"/>
    <col min="8709" max="8713" width="8.88671875" style="2"/>
    <col min="8714" max="8714" width="14.88671875" style="2" bestFit="1" customWidth="1"/>
    <col min="8715" max="8715" width="13.5546875" style="2" bestFit="1" customWidth="1"/>
    <col min="8716" max="8961" width="8.88671875" style="2"/>
    <col min="8962" max="8962" width="28.33203125" style="2" customWidth="1"/>
    <col min="8963" max="8963" width="11.44140625" style="2" customWidth="1"/>
    <col min="8964" max="8964" width="9.6640625" style="2" customWidth="1"/>
    <col min="8965" max="8969" width="8.88671875" style="2"/>
    <col min="8970" max="8970" width="14.88671875" style="2" bestFit="1" customWidth="1"/>
    <col min="8971" max="8971" width="13.5546875" style="2" bestFit="1" customWidth="1"/>
    <col min="8972" max="9217" width="8.88671875" style="2"/>
    <col min="9218" max="9218" width="28.33203125" style="2" customWidth="1"/>
    <col min="9219" max="9219" width="11.44140625" style="2" customWidth="1"/>
    <col min="9220" max="9220" width="9.6640625" style="2" customWidth="1"/>
    <col min="9221" max="9225" width="8.88671875" style="2"/>
    <col min="9226" max="9226" width="14.88671875" style="2" bestFit="1" customWidth="1"/>
    <col min="9227" max="9227" width="13.5546875" style="2" bestFit="1" customWidth="1"/>
    <col min="9228" max="9473" width="8.88671875" style="2"/>
    <col min="9474" max="9474" width="28.33203125" style="2" customWidth="1"/>
    <col min="9475" max="9475" width="11.44140625" style="2" customWidth="1"/>
    <col min="9476" max="9476" width="9.6640625" style="2" customWidth="1"/>
    <col min="9477" max="9481" width="8.88671875" style="2"/>
    <col min="9482" max="9482" width="14.88671875" style="2" bestFit="1" customWidth="1"/>
    <col min="9483" max="9483" width="13.5546875" style="2" bestFit="1" customWidth="1"/>
    <col min="9484" max="9729" width="8.88671875" style="2"/>
    <col min="9730" max="9730" width="28.33203125" style="2" customWidth="1"/>
    <col min="9731" max="9731" width="11.44140625" style="2" customWidth="1"/>
    <col min="9732" max="9732" width="9.6640625" style="2" customWidth="1"/>
    <col min="9733" max="9737" width="8.88671875" style="2"/>
    <col min="9738" max="9738" width="14.88671875" style="2" bestFit="1" customWidth="1"/>
    <col min="9739" max="9739" width="13.5546875" style="2" bestFit="1" customWidth="1"/>
    <col min="9740" max="9985" width="8.88671875" style="2"/>
    <col min="9986" max="9986" width="28.33203125" style="2" customWidth="1"/>
    <col min="9987" max="9987" width="11.44140625" style="2" customWidth="1"/>
    <col min="9988" max="9988" width="9.6640625" style="2" customWidth="1"/>
    <col min="9989" max="9993" width="8.88671875" style="2"/>
    <col min="9994" max="9994" width="14.88671875" style="2" bestFit="1" customWidth="1"/>
    <col min="9995" max="9995" width="13.5546875" style="2" bestFit="1" customWidth="1"/>
    <col min="9996" max="10241" width="8.88671875" style="2"/>
    <col min="10242" max="10242" width="28.33203125" style="2" customWidth="1"/>
    <col min="10243" max="10243" width="11.44140625" style="2" customWidth="1"/>
    <col min="10244" max="10244" width="9.6640625" style="2" customWidth="1"/>
    <col min="10245" max="10249" width="8.88671875" style="2"/>
    <col min="10250" max="10250" width="14.88671875" style="2" bestFit="1" customWidth="1"/>
    <col min="10251" max="10251" width="13.5546875" style="2" bestFit="1" customWidth="1"/>
    <col min="10252" max="10497" width="8.88671875" style="2"/>
    <col min="10498" max="10498" width="28.33203125" style="2" customWidth="1"/>
    <col min="10499" max="10499" width="11.44140625" style="2" customWidth="1"/>
    <col min="10500" max="10500" width="9.6640625" style="2" customWidth="1"/>
    <col min="10501" max="10505" width="8.88671875" style="2"/>
    <col min="10506" max="10506" width="14.88671875" style="2" bestFit="1" customWidth="1"/>
    <col min="10507" max="10507" width="13.5546875" style="2" bestFit="1" customWidth="1"/>
    <col min="10508" max="10753" width="8.88671875" style="2"/>
    <col min="10754" max="10754" width="28.33203125" style="2" customWidth="1"/>
    <col min="10755" max="10755" width="11.44140625" style="2" customWidth="1"/>
    <col min="10756" max="10756" width="9.6640625" style="2" customWidth="1"/>
    <col min="10757" max="10761" width="8.88671875" style="2"/>
    <col min="10762" max="10762" width="14.88671875" style="2" bestFit="1" customWidth="1"/>
    <col min="10763" max="10763" width="13.5546875" style="2" bestFit="1" customWidth="1"/>
    <col min="10764" max="11009" width="8.88671875" style="2"/>
    <col min="11010" max="11010" width="28.33203125" style="2" customWidth="1"/>
    <col min="11011" max="11011" width="11.44140625" style="2" customWidth="1"/>
    <col min="11012" max="11012" width="9.6640625" style="2" customWidth="1"/>
    <col min="11013" max="11017" width="8.88671875" style="2"/>
    <col min="11018" max="11018" width="14.88671875" style="2" bestFit="1" customWidth="1"/>
    <col min="11019" max="11019" width="13.5546875" style="2" bestFit="1" customWidth="1"/>
    <col min="11020" max="11265" width="8.88671875" style="2"/>
    <col min="11266" max="11266" width="28.33203125" style="2" customWidth="1"/>
    <col min="11267" max="11267" width="11.44140625" style="2" customWidth="1"/>
    <col min="11268" max="11268" width="9.6640625" style="2" customWidth="1"/>
    <col min="11269" max="11273" width="8.88671875" style="2"/>
    <col min="11274" max="11274" width="14.88671875" style="2" bestFit="1" customWidth="1"/>
    <col min="11275" max="11275" width="13.5546875" style="2" bestFit="1" customWidth="1"/>
    <col min="11276" max="11521" width="8.88671875" style="2"/>
    <col min="11522" max="11522" width="28.33203125" style="2" customWidth="1"/>
    <col min="11523" max="11523" width="11.44140625" style="2" customWidth="1"/>
    <col min="11524" max="11524" width="9.6640625" style="2" customWidth="1"/>
    <col min="11525" max="11529" width="8.88671875" style="2"/>
    <col min="11530" max="11530" width="14.88671875" style="2" bestFit="1" customWidth="1"/>
    <col min="11531" max="11531" width="13.5546875" style="2" bestFit="1" customWidth="1"/>
    <col min="11532" max="11777" width="8.88671875" style="2"/>
    <col min="11778" max="11778" width="28.33203125" style="2" customWidth="1"/>
    <col min="11779" max="11779" width="11.44140625" style="2" customWidth="1"/>
    <col min="11780" max="11780" width="9.6640625" style="2" customWidth="1"/>
    <col min="11781" max="11785" width="8.88671875" style="2"/>
    <col min="11786" max="11786" width="14.88671875" style="2" bestFit="1" customWidth="1"/>
    <col min="11787" max="11787" width="13.5546875" style="2" bestFit="1" customWidth="1"/>
    <col min="11788" max="12033" width="8.88671875" style="2"/>
    <col min="12034" max="12034" width="28.33203125" style="2" customWidth="1"/>
    <col min="12035" max="12035" width="11.44140625" style="2" customWidth="1"/>
    <col min="12036" max="12036" width="9.6640625" style="2" customWidth="1"/>
    <col min="12037" max="12041" width="8.88671875" style="2"/>
    <col min="12042" max="12042" width="14.88671875" style="2" bestFit="1" customWidth="1"/>
    <col min="12043" max="12043" width="13.5546875" style="2" bestFit="1" customWidth="1"/>
    <col min="12044" max="12289" width="8.88671875" style="2"/>
    <col min="12290" max="12290" width="28.33203125" style="2" customWidth="1"/>
    <col min="12291" max="12291" width="11.44140625" style="2" customWidth="1"/>
    <col min="12292" max="12292" width="9.6640625" style="2" customWidth="1"/>
    <col min="12293" max="12297" width="8.88671875" style="2"/>
    <col min="12298" max="12298" width="14.88671875" style="2" bestFit="1" customWidth="1"/>
    <col min="12299" max="12299" width="13.5546875" style="2" bestFit="1" customWidth="1"/>
    <col min="12300" max="12545" width="8.88671875" style="2"/>
    <col min="12546" max="12546" width="28.33203125" style="2" customWidth="1"/>
    <col min="12547" max="12547" width="11.44140625" style="2" customWidth="1"/>
    <col min="12548" max="12548" width="9.6640625" style="2" customWidth="1"/>
    <col min="12549" max="12553" width="8.88671875" style="2"/>
    <col min="12554" max="12554" width="14.88671875" style="2" bestFit="1" customWidth="1"/>
    <col min="12555" max="12555" width="13.5546875" style="2" bestFit="1" customWidth="1"/>
    <col min="12556" max="12801" width="8.88671875" style="2"/>
    <col min="12802" max="12802" width="28.33203125" style="2" customWidth="1"/>
    <col min="12803" max="12803" width="11.44140625" style="2" customWidth="1"/>
    <col min="12804" max="12804" width="9.6640625" style="2" customWidth="1"/>
    <col min="12805" max="12809" width="8.88671875" style="2"/>
    <col min="12810" max="12810" width="14.88671875" style="2" bestFit="1" customWidth="1"/>
    <col min="12811" max="12811" width="13.5546875" style="2" bestFit="1" customWidth="1"/>
    <col min="12812" max="13057" width="8.88671875" style="2"/>
    <col min="13058" max="13058" width="28.33203125" style="2" customWidth="1"/>
    <col min="13059" max="13059" width="11.44140625" style="2" customWidth="1"/>
    <col min="13060" max="13060" width="9.6640625" style="2" customWidth="1"/>
    <col min="13061" max="13065" width="8.88671875" style="2"/>
    <col min="13066" max="13066" width="14.88671875" style="2" bestFit="1" customWidth="1"/>
    <col min="13067" max="13067" width="13.5546875" style="2" bestFit="1" customWidth="1"/>
    <col min="13068" max="13313" width="8.88671875" style="2"/>
    <col min="13314" max="13314" width="28.33203125" style="2" customWidth="1"/>
    <col min="13315" max="13315" width="11.44140625" style="2" customWidth="1"/>
    <col min="13316" max="13316" width="9.6640625" style="2" customWidth="1"/>
    <col min="13317" max="13321" width="8.88671875" style="2"/>
    <col min="13322" max="13322" width="14.88671875" style="2" bestFit="1" customWidth="1"/>
    <col min="13323" max="13323" width="13.5546875" style="2" bestFit="1" customWidth="1"/>
    <col min="13324" max="13569" width="8.88671875" style="2"/>
    <col min="13570" max="13570" width="28.33203125" style="2" customWidth="1"/>
    <col min="13571" max="13571" width="11.44140625" style="2" customWidth="1"/>
    <col min="13572" max="13572" width="9.6640625" style="2" customWidth="1"/>
    <col min="13573" max="13577" width="8.88671875" style="2"/>
    <col min="13578" max="13578" width="14.88671875" style="2" bestFit="1" customWidth="1"/>
    <col min="13579" max="13579" width="13.5546875" style="2" bestFit="1" customWidth="1"/>
    <col min="13580" max="13825" width="8.88671875" style="2"/>
    <col min="13826" max="13826" width="28.33203125" style="2" customWidth="1"/>
    <col min="13827" max="13827" width="11.44140625" style="2" customWidth="1"/>
    <col min="13828" max="13828" width="9.6640625" style="2" customWidth="1"/>
    <col min="13829" max="13833" width="8.88671875" style="2"/>
    <col min="13834" max="13834" width="14.88671875" style="2" bestFit="1" customWidth="1"/>
    <col min="13835" max="13835" width="13.5546875" style="2" bestFit="1" customWidth="1"/>
    <col min="13836" max="14081" width="8.88671875" style="2"/>
    <col min="14082" max="14082" width="28.33203125" style="2" customWidth="1"/>
    <col min="14083" max="14083" width="11.44140625" style="2" customWidth="1"/>
    <col min="14084" max="14084" width="9.6640625" style="2" customWidth="1"/>
    <col min="14085" max="14089" width="8.88671875" style="2"/>
    <col min="14090" max="14090" width="14.88671875" style="2" bestFit="1" customWidth="1"/>
    <col min="14091" max="14091" width="13.5546875" style="2" bestFit="1" customWidth="1"/>
    <col min="14092" max="14337" width="8.88671875" style="2"/>
    <col min="14338" max="14338" width="28.33203125" style="2" customWidth="1"/>
    <col min="14339" max="14339" width="11.44140625" style="2" customWidth="1"/>
    <col min="14340" max="14340" width="9.6640625" style="2" customWidth="1"/>
    <col min="14341" max="14345" width="8.88671875" style="2"/>
    <col min="14346" max="14346" width="14.88671875" style="2" bestFit="1" customWidth="1"/>
    <col min="14347" max="14347" width="13.5546875" style="2" bestFit="1" customWidth="1"/>
    <col min="14348" max="14593" width="8.88671875" style="2"/>
    <col min="14594" max="14594" width="28.33203125" style="2" customWidth="1"/>
    <col min="14595" max="14595" width="11.44140625" style="2" customWidth="1"/>
    <col min="14596" max="14596" width="9.6640625" style="2" customWidth="1"/>
    <col min="14597" max="14601" width="8.88671875" style="2"/>
    <col min="14602" max="14602" width="14.88671875" style="2" bestFit="1" customWidth="1"/>
    <col min="14603" max="14603" width="13.5546875" style="2" bestFit="1" customWidth="1"/>
    <col min="14604" max="14849" width="8.88671875" style="2"/>
    <col min="14850" max="14850" width="28.33203125" style="2" customWidth="1"/>
    <col min="14851" max="14851" width="11.44140625" style="2" customWidth="1"/>
    <col min="14852" max="14852" width="9.6640625" style="2" customWidth="1"/>
    <col min="14853" max="14857" width="8.88671875" style="2"/>
    <col min="14858" max="14858" width="14.88671875" style="2" bestFit="1" customWidth="1"/>
    <col min="14859" max="14859" width="13.5546875" style="2" bestFit="1" customWidth="1"/>
    <col min="14860" max="15105" width="8.88671875" style="2"/>
    <col min="15106" max="15106" width="28.33203125" style="2" customWidth="1"/>
    <col min="15107" max="15107" width="11.44140625" style="2" customWidth="1"/>
    <col min="15108" max="15108" width="9.6640625" style="2" customWidth="1"/>
    <col min="15109" max="15113" width="8.88671875" style="2"/>
    <col min="15114" max="15114" width="14.88671875" style="2" bestFit="1" customWidth="1"/>
    <col min="15115" max="15115" width="13.5546875" style="2" bestFit="1" customWidth="1"/>
    <col min="15116" max="15361" width="8.88671875" style="2"/>
    <col min="15362" max="15362" width="28.33203125" style="2" customWidth="1"/>
    <col min="15363" max="15363" width="11.44140625" style="2" customWidth="1"/>
    <col min="15364" max="15364" width="9.6640625" style="2" customWidth="1"/>
    <col min="15365" max="15369" width="8.88671875" style="2"/>
    <col min="15370" max="15370" width="14.88671875" style="2" bestFit="1" customWidth="1"/>
    <col min="15371" max="15371" width="13.5546875" style="2" bestFit="1" customWidth="1"/>
    <col min="15372" max="15617" width="8.88671875" style="2"/>
    <col min="15618" max="15618" width="28.33203125" style="2" customWidth="1"/>
    <col min="15619" max="15619" width="11.44140625" style="2" customWidth="1"/>
    <col min="15620" max="15620" width="9.6640625" style="2" customWidth="1"/>
    <col min="15621" max="15625" width="8.88671875" style="2"/>
    <col min="15626" max="15626" width="14.88671875" style="2" bestFit="1" customWidth="1"/>
    <col min="15627" max="15627" width="13.5546875" style="2" bestFit="1" customWidth="1"/>
    <col min="15628" max="15873" width="8.88671875" style="2"/>
    <col min="15874" max="15874" width="28.33203125" style="2" customWidth="1"/>
    <col min="15875" max="15875" width="11.44140625" style="2" customWidth="1"/>
    <col min="15876" max="15876" width="9.6640625" style="2" customWidth="1"/>
    <col min="15877" max="15881" width="8.88671875" style="2"/>
    <col min="15882" max="15882" width="14.88671875" style="2" bestFit="1" customWidth="1"/>
    <col min="15883" max="15883" width="13.5546875" style="2" bestFit="1" customWidth="1"/>
    <col min="15884" max="16129" width="8.88671875" style="2"/>
    <col min="16130" max="16130" width="28.33203125" style="2" customWidth="1"/>
    <col min="16131" max="16131" width="11.44140625" style="2" customWidth="1"/>
    <col min="16132" max="16132" width="9.6640625" style="2" customWidth="1"/>
    <col min="16133" max="16137" width="8.88671875" style="2"/>
    <col min="16138" max="16138" width="14.88671875" style="2" bestFit="1" customWidth="1"/>
    <col min="16139" max="16139" width="13.5546875" style="2" bestFit="1" customWidth="1"/>
    <col min="16140" max="16384" width="8.88671875" style="2"/>
  </cols>
  <sheetData>
    <row r="1" spans="2:13" s="1" customFormat="1" x14ac:dyDescent="0.25"/>
    <row r="2" spans="2:13" s="1" customFormat="1" x14ac:dyDescent="0.25"/>
    <row r="3" spans="2:13" s="1" customFormat="1" x14ac:dyDescent="0.25"/>
    <row r="4" spans="2:13" s="1" customFormat="1" x14ac:dyDescent="0.25"/>
    <row r="5" spans="2:13" s="1" customFormat="1" x14ac:dyDescent="0.25"/>
    <row r="6" spans="2:13" s="1" customFormat="1" x14ac:dyDescent="0.25"/>
    <row r="7" spans="2:13" s="1" customFormat="1" x14ac:dyDescent="0.25"/>
    <row r="8" spans="2:13" ht="21" thickBot="1" x14ac:dyDescent="0.4">
      <c r="B8" s="12"/>
    </row>
    <row r="9" spans="2:13" ht="13.8" thickBot="1" x14ac:dyDescent="0.3">
      <c r="B9" s="13" t="s">
        <v>0</v>
      </c>
      <c r="C9" s="14"/>
    </row>
    <row r="10" spans="2:13" x14ac:dyDescent="0.25">
      <c r="B10" s="4" t="s">
        <v>3</v>
      </c>
      <c r="C10" s="25">
        <v>2.4E-2</v>
      </c>
    </row>
    <row r="11" spans="2:13" x14ac:dyDescent="0.25">
      <c r="B11" s="3" t="s">
        <v>4</v>
      </c>
      <c r="C11" s="26">
        <v>1.2E-2</v>
      </c>
    </row>
    <row r="12" spans="2:13" x14ac:dyDescent="0.25">
      <c r="B12" s="3" t="s">
        <v>5</v>
      </c>
      <c r="C12" s="6">
        <v>0.1</v>
      </c>
      <c r="D12" s="15"/>
      <c r="H12" s="2" t="s">
        <v>6</v>
      </c>
      <c r="I12" s="2" t="s">
        <v>7</v>
      </c>
      <c r="J12" s="2" t="s">
        <v>8</v>
      </c>
      <c r="K12" s="2" t="s">
        <v>9</v>
      </c>
    </row>
    <row r="13" spans="2:13" x14ac:dyDescent="0.25">
      <c r="B13" s="3" t="s">
        <v>1</v>
      </c>
      <c r="C13" s="6">
        <v>0.1</v>
      </c>
      <c r="D13" s="16"/>
      <c r="G13" s="9">
        <v>9.9999999999999995E-7</v>
      </c>
      <c r="H13" s="17">
        <f t="shared" ref="H13:H33" ca="1" si="0">EXP(-SpreadRef*G13/(1-Recovery))</f>
        <v>0.99999997333333368</v>
      </c>
      <c r="I13" s="17">
        <f t="shared" ref="I13:I33" ca="1" si="1">EXP(-CntrptySpread*G13/(1-Recovery))</f>
        <v>0.99999998666666678</v>
      </c>
    </row>
    <row r="14" spans="2:13" ht="13.8" thickBot="1" x14ac:dyDescent="0.3">
      <c r="B14" s="8" t="s">
        <v>2</v>
      </c>
      <c r="C14" s="18">
        <v>5</v>
      </c>
      <c r="G14" s="2">
        <v>0.25</v>
      </c>
      <c r="H14" s="17">
        <f t="shared" ca="1" si="0"/>
        <v>0.99335550625503444</v>
      </c>
      <c r="I14" s="17">
        <f t="shared" ca="1" si="1"/>
        <v>0.99667221605452327</v>
      </c>
      <c r="J14" s="19">
        <f ca="1">(BivN(NORMSINV(H13),NORMSINV(I14),CopulaCorrelation)-BivN(NORMSINV(H14),NORMSINV(I14),CopulaCorrelation))</f>
        <v>6.596370362096704E-3</v>
      </c>
      <c r="K14" s="17">
        <f t="shared" ref="K14:K33" ca="1" si="2">H14</f>
        <v>0.99335550625503444</v>
      </c>
      <c r="M14" s="5"/>
    </row>
    <row r="15" spans="2:13" ht="13.8" thickBot="1" x14ac:dyDescent="0.3">
      <c r="G15" s="2">
        <f t="shared" ref="G15:G33" si="3">G14+0.25</f>
        <v>0.5</v>
      </c>
      <c r="H15" s="17">
        <f t="shared" ca="1" si="0"/>
        <v>0.98675516180719569</v>
      </c>
      <c r="I15" s="17">
        <f t="shared" ca="1" si="1"/>
        <v>0.99335550625503444</v>
      </c>
      <c r="J15" s="19">
        <f t="shared" ref="J15:J33" ca="1" si="4">(BivN(NORMSINV(H14),NORMSINV(I15),CopulaCorrelation)-BivN(NORMSINV(H15),NORMSINV(I15),CopulaCorrelation))</f>
        <v>6.5204762615808098E-3</v>
      </c>
      <c r="K15" s="17">
        <f t="shared" ca="1" si="2"/>
        <v>0.98675516180719569</v>
      </c>
    </row>
    <row r="16" spans="2:13" x14ac:dyDescent="0.25">
      <c r="B16" s="4" t="s">
        <v>10</v>
      </c>
      <c r="C16" s="20">
        <f ca="1">1-EXP(-Maturity*SpreadRef/(1-Recovery))</f>
        <v>0.12482668095705252</v>
      </c>
      <c r="G16" s="2">
        <f t="shared" si="3"/>
        <v>0.75</v>
      </c>
      <c r="H16" s="17">
        <f t="shared" ca="1" si="0"/>
        <v>0.98019867330675525</v>
      </c>
      <c r="I16" s="17">
        <f t="shared" ca="1" si="1"/>
        <v>0.99004983374916811</v>
      </c>
      <c r="J16" s="19">
        <f t="shared" ca="1" si="4"/>
        <v>6.4465487517386677E-3</v>
      </c>
      <c r="K16" s="17">
        <f t="shared" ca="1" si="2"/>
        <v>0.98019867330675525</v>
      </c>
    </row>
    <row r="17" spans="2:11" x14ac:dyDescent="0.25">
      <c r="B17" s="3" t="s">
        <v>11</v>
      </c>
      <c r="C17" s="21">
        <f ca="1">1-EXP(-Maturity*CntrptySpread/(1-Recovery))</f>
        <v>6.4493014968382223E-2</v>
      </c>
      <c r="G17" s="2">
        <f t="shared" si="3"/>
        <v>1</v>
      </c>
      <c r="H17" s="17">
        <f t="shared" ca="1" si="0"/>
        <v>0.973685749353145</v>
      </c>
      <c r="I17" s="17">
        <f t="shared" ca="1" si="1"/>
        <v>0.98675516180719569</v>
      </c>
      <c r="J17" s="19">
        <f t="shared" ca="1" si="4"/>
        <v>6.3748770345909422E-3</v>
      </c>
      <c r="K17" s="17">
        <f t="shared" ca="1" si="2"/>
        <v>0.973685749353145</v>
      </c>
    </row>
    <row r="18" spans="2:11" x14ac:dyDescent="0.25">
      <c r="B18" s="3" t="s">
        <v>12</v>
      </c>
      <c r="C18" s="21">
        <f ca="1">BivN(NORMSINV(RefDefProb),NORMSINV(CntrptyDefProb),CopulaCorrelation)</f>
        <v>1.0870290081252485E-2</v>
      </c>
      <c r="G18" s="2">
        <f t="shared" si="3"/>
        <v>1.25</v>
      </c>
      <c r="H18" s="17">
        <f t="shared" ca="1" si="0"/>
        <v>0.9672161004820059</v>
      </c>
      <c r="I18" s="17">
        <f t="shared" ca="1" si="1"/>
        <v>0.98347145382161749</v>
      </c>
      <c r="J18" s="19">
        <f t="shared" ca="1" si="4"/>
        <v>6.3050305644730686E-3</v>
      </c>
      <c r="K18" s="17">
        <f t="shared" ca="1" si="2"/>
        <v>0.9672161004820059</v>
      </c>
    </row>
    <row r="19" spans="2:11" x14ac:dyDescent="0.25">
      <c r="B19" s="3" t="s">
        <v>13</v>
      </c>
      <c r="C19" s="21">
        <f ca="1">BivN(-NORMSINV(RefDefProb),-NORMSINV(CntrptyDefProb),CopulaCorrelation)</f>
        <v>0.82155059415581788</v>
      </c>
      <c r="G19" s="2">
        <f t="shared" si="3"/>
        <v>1.5</v>
      </c>
      <c r="H19" s="17">
        <f t="shared" ca="1" si="0"/>
        <v>0.96078943915232318</v>
      </c>
      <c r="I19" s="17">
        <f t="shared" ca="1" si="1"/>
        <v>0.98019867330675525</v>
      </c>
      <c r="J19" s="19">
        <f t="shared" ca="1" si="4"/>
        <v>6.2367348048559812E-3</v>
      </c>
      <c r="K19" s="17">
        <f t="shared" ca="1" si="2"/>
        <v>0.96078943915232318</v>
      </c>
    </row>
    <row r="20" spans="2:11" x14ac:dyDescent="0.25">
      <c r="B20" s="3" t="s">
        <v>14</v>
      </c>
      <c r="C20" s="21">
        <f ca="1">BivN(NORMSINV(RefDefProb),-NORMSINV(CntrptyDefProb),-CopulaCorrelation)</f>
        <v>0.11395639087579996</v>
      </c>
      <c r="G20" s="2">
        <f t="shared" si="3"/>
        <v>1.75</v>
      </c>
      <c r="H20" s="17">
        <f t="shared" ca="1" si="0"/>
        <v>0.95440547973364664</v>
      </c>
      <c r="I20" s="17">
        <f t="shared" ca="1" si="1"/>
        <v>0.97693678389834759</v>
      </c>
      <c r="J20" s="19">
        <f t="shared" ca="1" si="4"/>
        <v>6.1698045773975752E-3</v>
      </c>
      <c r="K20" s="17">
        <f t="shared" ca="1" si="2"/>
        <v>0.95440547973364664</v>
      </c>
    </row>
    <row r="21" spans="2:11" ht="13.8" thickBot="1" x14ac:dyDescent="0.3">
      <c r="B21" s="8" t="s">
        <v>15</v>
      </c>
      <c r="C21" s="22">
        <f ca="1">BivN(-NORMSINV(RefDefProb),+NORMSINV(CntrptyDefProb),-CopulaCorrelation)</f>
        <v>5.3622724887129755E-2</v>
      </c>
      <c r="G21" s="2">
        <f t="shared" si="3"/>
        <v>2</v>
      </c>
      <c r="H21" s="17">
        <f t="shared" ca="1" si="0"/>
        <v>0.94806393849339554</v>
      </c>
      <c r="I21" s="17">
        <f t="shared" ca="1" si="1"/>
        <v>0.973685749353145</v>
      </c>
      <c r="J21" s="19">
        <f t="shared" ca="1" si="4"/>
        <v>6.1041069569485185E-3</v>
      </c>
      <c r="K21" s="17">
        <f t="shared" ca="1" si="2"/>
        <v>0.94806393849339554</v>
      </c>
    </row>
    <row r="22" spans="2:11" ht="13.8" thickBot="1" x14ac:dyDescent="0.3">
      <c r="G22" s="2">
        <f t="shared" si="3"/>
        <v>2.25</v>
      </c>
      <c r="H22" s="17">
        <f t="shared" ca="1" si="0"/>
        <v>0.94176453358424872</v>
      </c>
      <c r="I22" s="17">
        <f t="shared" ca="1" si="1"/>
        <v>0.97044553354850815</v>
      </c>
      <c r="J22" s="19">
        <f t="shared" ca="1" si="4"/>
        <v>6.0395417176738464E-3</v>
      </c>
      <c r="K22" s="17">
        <f t="shared" ca="1" si="2"/>
        <v>0.94176453358424872</v>
      </c>
    </row>
    <row r="23" spans="2:11" x14ac:dyDescent="0.25">
      <c r="B23" s="4" t="s">
        <v>16</v>
      </c>
      <c r="C23" s="20">
        <f ca="1">J35/K35</f>
        <v>2.3001231347183949E-2</v>
      </c>
      <c r="G23" s="2">
        <f t="shared" si="3"/>
        <v>2.5</v>
      </c>
      <c r="H23" s="17">
        <f t="shared" ca="1" si="0"/>
        <v>0.93550698503161778</v>
      </c>
      <c r="I23" s="17">
        <f t="shared" ca="1" si="1"/>
        <v>0.9672161004820059</v>
      </c>
      <c r="J23" s="19">
        <f t="shared" ca="1" si="4"/>
        <v>5.9760303324587483E-3</v>
      </c>
      <c r="K23" s="17">
        <f t="shared" ca="1" si="2"/>
        <v>0.93550698503161778</v>
      </c>
    </row>
    <row r="24" spans="2:11" ht="13.8" thickBot="1" x14ac:dyDescent="0.3">
      <c r="B24" s="8" t="s">
        <v>17</v>
      </c>
      <c r="C24" s="22">
        <f ca="1">SpreadRef-C23</f>
        <v>9.9876865281605179E-4</v>
      </c>
      <c r="D24" s="19"/>
      <c r="E24" s="10"/>
      <c r="F24" s="7"/>
      <c r="G24" s="2">
        <f t="shared" si="3"/>
        <v>2.75</v>
      </c>
      <c r="H24" s="17">
        <f t="shared" ca="1" si="0"/>
        <v>0.92929101472120357</v>
      </c>
      <c r="I24" s="17">
        <f t="shared" ca="1" si="1"/>
        <v>0.96399741427101537</v>
      </c>
      <c r="J24" s="19">
        <f t="shared" ca="1" si="4"/>
        <v>5.9135093713322817E-3</v>
      </c>
      <c r="K24" s="17">
        <f t="shared" ca="1" si="2"/>
        <v>0.92929101472120357</v>
      </c>
    </row>
    <row r="25" spans="2:11" x14ac:dyDescent="0.25">
      <c r="D25" s="19"/>
      <c r="G25" s="2">
        <f t="shared" si="3"/>
        <v>3</v>
      </c>
      <c r="H25" s="17">
        <f t="shared" ca="1" si="0"/>
        <v>0.92311634638663576</v>
      </c>
      <c r="I25" s="17">
        <f t="shared" ca="1" si="1"/>
        <v>0.96078943915232318</v>
      </c>
      <c r="J25" s="19">
        <f t="shared" ca="1" si="4"/>
        <v>5.8519263186491699E-3</v>
      </c>
      <c r="K25" s="17">
        <f t="shared" ca="1" si="2"/>
        <v>0.92311634638663576</v>
      </c>
    </row>
    <row r="26" spans="2:11" x14ac:dyDescent="0.25">
      <c r="G26" s="2">
        <f t="shared" si="3"/>
        <v>3.25</v>
      </c>
      <c r="H26" s="17">
        <f t="shared" ca="1" si="0"/>
        <v>0.9169827055971943</v>
      </c>
      <c r="I26" s="17">
        <f t="shared" ca="1" si="1"/>
        <v>0.95759213948172861</v>
      </c>
      <c r="J26" s="19">
        <f t="shared" ca="1" si="4"/>
        <v>5.7912368012449367E-3</v>
      </c>
      <c r="K26" s="17">
        <f t="shared" ca="1" si="2"/>
        <v>0.9169827055971943</v>
      </c>
    </row>
    <row r="27" spans="2:11" x14ac:dyDescent="0.25">
      <c r="G27" s="2">
        <f t="shared" si="3"/>
        <v>3.5</v>
      </c>
      <c r="H27" s="17">
        <f t="shared" ca="1" si="0"/>
        <v>0.91088981974561212</v>
      </c>
      <c r="I27" s="17">
        <f t="shared" ca="1" si="1"/>
        <v>0.95440547973364664</v>
      </c>
      <c r="J27" s="19">
        <f t="shared" ca="1" si="4"/>
        <v>5.7314026818771069E-3</v>
      </c>
      <c r="K27" s="17">
        <f t="shared" ca="1" si="2"/>
        <v>0.91088981974561212</v>
      </c>
    </row>
    <row r="28" spans="2:11" x14ac:dyDescent="0.25">
      <c r="G28" s="2">
        <f t="shared" si="3"/>
        <v>3.75</v>
      </c>
      <c r="H28" s="17">
        <f t="shared" ca="1" si="0"/>
        <v>0.90483741803595963</v>
      </c>
      <c r="I28" s="17">
        <f t="shared" ca="1" si="1"/>
        <v>0.95122942450071402</v>
      </c>
      <c r="J28" s="19">
        <f t="shared" ca="1" si="4"/>
        <v>5.672390706135011E-3</v>
      </c>
      <c r="K28" s="17">
        <f t="shared" ca="1" si="2"/>
        <v>0.90483741803595963</v>
      </c>
    </row>
    <row r="29" spans="2:11" x14ac:dyDescent="0.25">
      <c r="G29" s="2">
        <f t="shared" si="3"/>
        <v>4</v>
      </c>
      <c r="H29" s="17">
        <f t="shared" ca="1" si="0"/>
        <v>0.89882523147160887</v>
      </c>
      <c r="I29" s="17">
        <f t="shared" ca="1" si="1"/>
        <v>0.94806393849339554</v>
      </c>
      <c r="J29" s="19">
        <f t="shared" ca="1" si="4"/>
        <v>5.6141715162395522E-3</v>
      </c>
      <c r="K29" s="17">
        <f t="shared" ca="1" si="2"/>
        <v>0.89882523147160887</v>
      </c>
    </row>
    <row r="30" spans="2:11" x14ac:dyDescent="0.25">
      <c r="B30" s="11">
        <f ca="1">C30</f>
        <v>2.4E-2</v>
      </c>
      <c r="C30" s="11">
        <f ca="1">SpreadRef</f>
        <v>2.4E-2</v>
      </c>
      <c r="G30" s="2">
        <f t="shared" si="3"/>
        <v>4.25</v>
      </c>
      <c r="H30" s="17">
        <f t="shared" ca="1" si="0"/>
        <v>0.89285299284327846</v>
      </c>
      <c r="I30" s="17">
        <f t="shared" ca="1" si="1"/>
        <v>0.94490898653959177</v>
      </c>
      <c r="J30" s="19">
        <f t="shared" ca="1" si="4"/>
        <v>5.5567189156116026E-3</v>
      </c>
      <c r="K30" s="17">
        <f t="shared" ca="1" si="2"/>
        <v>0.89285299284327846</v>
      </c>
    </row>
    <row r="31" spans="2:11" x14ac:dyDescent="0.25">
      <c r="B31" s="11">
        <f ca="1">C31</f>
        <v>2.3001231347183949E-2</v>
      </c>
      <c r="C31" s="11">
        <f ca="1">C23</f>
        <v>2.3001231347183949E-2</v>
      </c>
      <c r="G31" s="2">
        <f t="shared" si="3"/>
        <v>4.5</v>
      </c>
      <c r="H31" s="17">
        <f t="shared" ca="1" si="0"/>
        <v>0.88692043671715748</v>
      </c>
      <c r="I31" s="17">
        <f t="shared" ca="1" si="1"/>
        <v>0.94176453358424872</v>
      </c>
      <c r="J31" s="19">
        <f t="shared" ca="1" si="4"/>
        <v>5.5000093094390579E-3</v>
      </c>
      <c r="K31" s="17">
        <f t="shared" ca="1" si="2"/>
        <v>0.88692043671715748</v>
      </c>
    </row>
    <row r="32" spans="2:11" x14ac:dyDescent="0.25">
      <c r="B32" s="23"/>
      <c r="G32" s="2">
        <f t="shared" si="3"/>
        <v>4.75</v>
      </c>
      <c r="H32" s="17">
        <f t="shared" ca="1" si="0"/>
        <v>0.8810272994231082</v>
      </c>
      <c r="I32" s="17">
        <f t="shared" ca="1" si="1"/>
        <v>0.93863054468896767</v>
      </c>
      <c r="J32" s="19">
        <f t="shared" ca="1" si="4"/>
        <v>5.4440212716317937E-3</v>
      </c>
      <c r="K32" s="17">
        <f t="shared" ca="1" si="2"/>
        <v>0.8810272994231082</v>
      </c>
    </row>
    <row r="33" spans="2:11" x14ac:dyDescent="0.25">
      <c r="B33" s="23"/>
      <c r="G33" s="2">
        <f t="shared" si="3"/>
        <v>5</v>
      </c>
      <c r="H33" s="17">
        <f t="shared" ca="1" si="0"/>
        <v>0.87517331904294748</v>
      </c>
      <c r="I33" s="17">
        <f t="shared" ca="1" si="1"/>
        <v>0.93550698503161778</v>
      </c>
      <c r="J33" s="19">
        <f t="shared" ca="1" si="4"/>
        <v>5.3887352044262871E-3</v>
      </c>
      <c r="K33" s="17">
        <f t="shared" ca="1" si="2"/>
        <v>0.87517331904294748</v>
      </c>
    </row>
    <row r="34" spans="2:11" x14ac:dyDescent="0.25">
      <c r="B34" s="23"/>
    </row>
    <row r="35" spans="2:11" x14ac:dyDescent="0.25">
      <c r="B35" s="23"/>
      <c r="J35" s="24">
        <f ca="1">SUM(J14:J33)*(1-Recovery)</f>
        <v>0.1073102791143615</v>
      </c>
      <c r="K35" s="17">
        <f ca="1">SUM(K14:K33)*0.25</f>
        <v>4.6654145377960186</v>
      </c>
    </row>
    <row r="36" spans="2:11" x14ac:dyDescent="0.25">
      <c r="B36" s="10"/>
    </row>
    <row r="37" spans="2:11" x14ac:dyDescent="0.25">
      <c r="B37" s="10"/>
    </row>
    <row r="38" spans="2:11" x14ac:dyDescent="0.25">
      <c r="B38" s="10"/>
    </row>
    <row r="39" spans="2:11" x14ac:dyDescent="0.25">
      <c r="B39" s="10"/>
    </row>
    <row r="40" spans="2:11" x14ac:dyDescent="0.25">
      <c r="B40" s="10"/>
    </row>
    <row r="41" spans="2:11" x14ac:dyDescent="0.25">
      <c r="B41" s="10"/>
    </row>
  </sheetData>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B85AF-0DFD-49D4-92B2-5A668BB82F4B}">
  <sheetPr codeName="Sheet16"/>
  <dimension ref="A1:Q991"/>
  <sheetViews>
    <sheetView showGridLines="0" zoomScale="130" zoomScaleNormal="130" workbookViewId="0">
      <pane ySplit="7" topLeftCell="A8" activePane="bottomLeft" state="frozen"/>
      <selection pane="bottomLeft" activeCell="E21" sqref="E21"/>
    </sheetView>
  </sheetViews>
  <sheetFormatPr defaultColWidth="9.109375" defaultRowHeight="13.2" x14ac:dyDescent="0.25"/>
  <cols>
    <col min="1" max="1" width="5.5546875" style="44" customWidth="1"/>
    <col min="2" max="2" width="11.77734375" style="44" customWidth="1"/>
    <col min="3" max="3" width="9.44140625" style="44" customWidth="1"/>
    <col min="4" max="4" width="6.6640625" style="44" customWidth="1"/>
    <col min="5" max="5" width="10.6640625" style="44" customWidth="1"/>
    <col min="6" max="7" width="10.5546875" style="44" customWidth="1"/>
    <col min="8" max="8" width="10.109375" style="44" customWidth="1"/>
    <col min="9" max="9" width="9.21875" style="44" customWidth="1"/>
    <col min="10" max="10" width="10" style="44" customWidth="1"/>
    <col min="11" max="11" width="12.33203125" style="44" bestFit="1" customWidth="1"/>
    <col min="12" max="12" width="8.21875" style="44" customWidth="1"/>
    <col min="13" max="13" width="9.5546875" style="44" customWidth="1"/>
    <col min="14" max="14" width="10.77734375" style="44" customWidth="1"/>
    <col min="15" max="15" width="9.109375" style="44"/>
    <col min="16" max="16" width="12" style="44" customWidth="1"/>
    <col min="17" max="256" width="9.109375" style="44"/>
    <col min="257" max="257" width="5.5546875" style="44" customWidth="1"/>
    <col min="258" max="258" width="15.5546875" style="44" bestFit="1" customWidth="1"/>
    <col min="259" max="259" width="9.44140625" style="44" customWidth="1"/>
    <col min="260" max="260" width="12" style="44" customWidth="1"/>
    <col min="261" max="261" width="10.6640625" style="44" customWidth="1"/>
    <col min="262" max="262" width="10.5546875" style="44" customWidth="1"/>
    <col min="263" max="263" width="10.33203125" style="44" bestFit="1" customWidth="1"/>
    <col min="264" max="264" width="11" style="44" bestFit="1" customWidth="1"/>
    <col min="265" max="265" width="12.88671875" style="44" bestFit="1" customWidth="1"/>
    <col min="266" max="266" width="14.6640625" style="44" customWidth="1"/>
    <col min="267" max="267" width="14.44140625" style="44" customWidth="1"/>
    <col min="268" max="268" width="12.33203125" style="44" bestFit="1" customWidth="1"/>
    <col min="269" max="269" width="9.6640625" style="44" bestFit="1" customWidth="1"/>
    <col min="270" max="270" width="6.33203125" style="44" bestFit="1" customWidth="1"/>
    <col min="271" max="271" width="9.109375" style="44"/>
    <col min="272" max="272" width="12" style="44" customWidth="1"/>
    <col min="273" max="512" width="9.109375" style="44"/>
    <col min="513" max="513" width="5.5546875" style="44" customWidth="1"/>
    <col min="514" max="514" width="15.5546875" style="44" bestFit="1" customWidth="1"/>
    <col min="515" max="515" width="9.44140625" style="44" customWidth="1"/>
    <col min="516" max="516" width="12" style="44" customWidth="1"/>
    <col min="517" max="517" width="10.6640625" style="44" customWidth="1"/>
    <col min="518" max="518" width="10.5546875" style="44" customWidth="1"/>
    <col min="519" max="519" width="10.33203125" style="44" bestFit="1" customWidth="1"/>
    <col min="520" max="520" width="11" style="44" bestFit="1" customWidth="1"/>
    <col min="521" max="521" width="12.88671875" style="44" bestFit="1" customWidth="1"/>
    <col min="522" max="522" width="14.6640625" style="44" customWidth="1"/>
    <col min="523" max="523" width="14.44140625" style="44" customWidth="1"/>
    <col min="524" max="524" width="12.33203125" style="44" bestFit="1" customWidth="1"/>
    <col min="525" max="525" width="9.6640625" style="44" bestFit="1" customWidth="1"/>
    <col min="526" max="526" width="6.33203125" style="44" bestFit="1" customWidth="1"/>
    <col min="527" max="527" width="9.109375" style="44"/>
    <col min="528" max="528" width="12" style="44" customWidth="1"/>
    <col min="529" max="768" width="9.109375" style="44"/>
    <col min="769" max="769" width="5.5546875" style="44" customWidth="1"/>
    <col min="770" max="770" width="15.5546875" style="44" bestFit="1" customWidth="1"/>
    <col min="771" max="771" width="9.44140625" style="44" customWidth="1"/>
    <col min="772" max="772" width="12" style="44" customWidth="1"/>
    <col min="773" max="773" width="10.6640625" style="44" customWidth="1"/>
    <col min="774" max="774" width="10.5546875" style="44" customWidth="1"/>
    <col min="775" max="775" width="10.33203125" style="44" bestFit="1" customWidth="1"/>
    <col min="776" max="776" width="11" style="44" bestFit="1" customWidth="1"/>
    <col min="777" max="777" width="12.88671875" style="44" bestFit="1" customWidth="1"/>
    <col min="778" max="778" width="14.6640625" style="44" customWidth="1"/>
    <col min="779" max="779" width="14.44140625" style="44" customWidth="1"/>
    <col min="780" max="780" width="12.33203125" style="44" bestFit="1" customWidth="1"/>
    <col min="781" max="781" width="9.6640625" style="44" bestFit="1" customWidth="1"/>
    <col min="782" max="782" width="6.33203125" style="44" bestFit="1" customWidth="1"/>
    <col min="783" max="783" width="9.109375" style="44"/>
    <col min="784" max="784" width="12" style="44" customWidth="1"/>
    <col min="785" max="1024" width="9.109375" style="44"/>
    <col min="1025" max="1025" width="5.5546875" style="44" customWidth="1"/>
    <col min="1026" max="1026" width="15.5546875" style="44" bestFit="1" customWidth="1"/>
    <col min="1027" max="1027" width="9.44140625" style="44" customWidth="1"/>
    <col min="1028" max="1028" width="12" style="44" customWidth="1"/>
    <col min="1029" max="1029" width="10.6640625" style="44" customWidth="1"/>
    <col min="1030" max="1030" width="10.5546875" style="44" customWidth="1"/>
    <col min="1031" max="1031" width="10.33203125" style="44" bestFit="1" customWidth="1"/>
    <col min="1032" max="1032" width="11" style="44" bestFit="1" customWidth="1"/>
    <col min="1033" max="1033" width="12.88671875" style="44" bestFit="1" customWidth="1"/>
    <col min="1034" max="1034" width="14.6640625" style="44" customWidth="1"/>
    <col min="1035" max="1035" width="14.44140625" style="44" customWidth="1"/>
    <col min="1036" max="1036" width="12.33203125" style="44" bestFit="1" customWidth="1"/>
    <col min="1037" max="1037" width="9.6640625" style="44" bestFit="1" customWidth="1"/>
    <col min="1038" max="1038" width="6.33203125" style="44" bestFit="1" customWidth="1"/>
    <col min="1039" max="1039" width="9.109375" style="44"/>
    <col min="1040" max="1040" width="12" style="44" customWidth="1"/>
    <col min="1041" max="1280" width="9.109375" style="44"/>
    <col min="1281" max="1281" width="5.5546875" style="44" customWidth="1"/>
    <col min="1282" max="1282" width="15.5546875" style="44" bestFit="1" customWidth="1"/>
    <col min="1283" max="1283" width="9.44140625" style="44" customWidth="1"/>
    <col min="1284" max="1284" width="12" style="44" customWidth="1"/>
    <col min="1285" max="1285" width="10.6640625" style="44" customWidth="1"/>
    <col min="1286" max="1286" width="10.5546875" style="44" customWidth="1"/>
    <col min="1287" max="1287" width="10.33203125" style="44" bestFit="1" customWidth="1"/>
    <col min="1288" max="1288" width="11" style="44" bestFit="1" customWidth="1"/>
    <col min="1289" max="1289" width="12.88671875" style="44" bestFit="1" customWidth="1"/>
    <col min="1290" max="1290" width="14.6640625" style="44" customWidth="1"/>
    <col min="1291" max="1291" width="14.44140625" style="44" customWidth="1"/>
    <col min="1292" max="1292" width="12.33203125" style="44" bestFit="1" customWidth="1"/>
    <col min="1293" max="1293" width="9.6640625" style="44" bestFit="1" customWidth="1"/>
    <col min="1294" max="1294" width="6.33203125" style="44" bestFit="1" customWidth="1"/>
    <col min="1295" max="1295" width="9.109375" style="44"/>
    <col min="1296" max="1296" width="12" style="44" customWidth="1"/>
    <col min="1297" max="1536" width="9.109375" style="44"/>
    <col min="1537" max="1537" width="5.5546875" style="44" customWidth="1"/>
    <col min="1538" max="1538" width="15.5546875" style="44" bestFit="1" customWidth="1"/>
    <col min="1539" max="1539" width="9.44140625" style="44" customWidth="1"/>
    <col min="1540" max="1540" width="12" style="44" customWidth="1"/>
    <col min="1541" max="1541" width="10.6640625" style="44" customWidth="1"/>
    <col min="1542" max="1542" width="10.5546875" style="44" customWidth="1"/>
    <col min="1543" max="1543" width="10.33203125" style="44" bestFit="1" customWidth="1"/>
    <col min="1544" max="1544" width="11" style="44" bestFit="1" customWidth="1"/>
    <col min="1545" max="1545" width="12.88671875" style="44" bestFit="1" customWidth="1"/>
    <col min="1546" max="1546" width="14.6640625" style="44" customWidth="1"/>
    <col min="1547" max="1547" width="14.44140625" style="44" customWidth="1"/>
    <col min="1548" max="1548" width="12.33203125" style="44" bestFit="1" customWidth="1"/>
    <col min="1549" max="1549" width="9.6640625" style="44" bestFit="1" customWidth="1"/>
    <col min="1550" max="1550" width="6.33203125" style="44" bestFit="1" customWidth="1"/>
    <col min="1551" max="1551" width="9.109375" style="44"/>
    <col min="1552" max="1552" width="12" style="44" customWidth="1"/>
    <col min="1553" max="1792" width="9.109375" style="44"/>
    <col min="1793" max="1793" width="5.5546875" style="44" customWidth="1"/>
    <col min="1794" max="1794" width="15.5546875" style="44" bestFit="1" customWidth="1"/>
    <col min="1795" max="1795" width="9.44140625" style="44" customWidth="1"/>
    <col min="1796" max="1796" width="12" style="44" customWidth="1"/>
    <col min="1797" max="1797" width="10.6640625" style="44" customWidth="1"/>
    <col min="1798" max="1798" width="10.5546875" style="44" customWidth="1"/>
    <col min="1799" max="1799" width="10.33203125" style="44" bestFit="1" customWidth="1"/>
    <col min="1800" max="1800" width="11" style="44" bestFit="1" customWidth="1"/>
    <col min="1801" max="1801" width="12.88671875" style="44" bestFit="1" customWidth="1"/>
    <col min="1802" max="1802" width="14.6640625" style="44" customWidth="1"/>
    <col min="1803" max="1803" width="14.44140625" style="44" customWidth="1"/>
    <col min="1804" max="1804" width="12.33203125" style="44" bestFit="1" customWidth="1"/>
    <col min="1805" max="1805" width="9.6640625" style="44" bestFit="1" customWidth="1"/>
    <col min="1806" max="1806" width="6.33203125" style="44" bestFit="1" customWidth="1"/>
    <col min="1807" max="1807" width="9.109375" style="44"/>
    <col min="1808" max="1808" width="12" style="44" customWidth="1"/>
    <col min="1809" max="2048" width="9.109375" style="44"/>
    <col min="2049" max="2049" width="5.5546875" style="44" customWidth="1"/>
    <col min="2050" max="2050" width="15.5546875" style="44" bestFit="1" customWidth="1"/>
    <col min="2051" max="2051" width="9.44140625" style="44" customWidth="1"/>
    <col min="2052" max="2052" width="12" style="44" customWidth="1"/>
    <col min="2053" max="2053" width="10.6640625" style="44" customWidth="1"/>
    <col min="2054" max="2054" width="10.5546875" style="44" customWidth="1"/>
    <col min="2055" max="2055" width="10.33203125" style="44" bestFit="1" customWidth="1"/>
    <col min="2056" max="2056" width="11" style="44" bestFit="1" customWidth="1"/>
    <col min="2057" max="2057" width="12.88671875" style="44" bestFit="1" customWidth="1"/>
    <col min="2058" max="2058" width="14.6640625" style="44" customWidth="1"/>
    <col min="2059" max="2059" width="14.44140625" style="44" customWidth="1"/>
    <col min="2060" max="2060" width="12.33203125" style="44" bestFit="1" customWidth="1"/>
    <col min="2061" max="2061" width="9.6640625" style="44" bestFit="1" customWidth="1"/>
    <col min="2062" max="2062" width="6.33203125" style="44" bestFit="1" customWidth="1"/>
    <col min="2063" max="2063" width="9.109375" style="44"/>
    <col min="2064" max="2064" width="12" style="44" customWidth="1"/>
    <col min="2065" max="2304" width="9.109375" style="44"/>
    <col min="2305" max="2305" width="5.5546875" style="44" customWidth="1"/>
    <col min="2306" max="2306" width="15.5546875" style="44" bestFit="1" customWidth="1"/>
    <col min="2307" max="2307" width="9.44140625" style="44" customWidth="1"/>
    <col min="2308" max="2308" width="12" style="44" customWidth="1"/>
    <col min="2309" max="2309" width="10.6640625" style="44" customWidth="1"/>
    <col min="2310" max="2310" width="10.5546875" style="44" customWidth="1"/>
    <col min="2311" max="2311" width="10.33203125" style="44" bestFit="1" customWidth="1"/>
    <col min="2312" max="2312" width="11" style="44" bestFit="1" customWidth="1"/>
    <col min="2313" max="2313" width="12.88671875" style="44" bestFit="1" customWidth="1"/>
    <col min="2314" max="2314" width="14.6640625" style="44" customWidth="1"/>
    <col min="2315" max="2315" width="14.44140625" style="44" customWidth="1"/>
    <col min="2316" max="2316" width="12.33203125" style="44" bestFit="1" customWidth="1"/>
    <col min="2317" max="2317" width="9.6640625" style="44" bestFit="1" customWidth="1"/>
    <col min="2318" max="2318" width="6.33203125" style="44" bestFit="1" customWidth="1"/>
    <col min="2319" max="2319" width="9.109375" style="44"/>
    <col min="2320" max="2320" width="12" style="44" customWidth="1"/>
    <col min="2321" max="2560" width="9.109375" style="44"/>
    <col min="2561" max="2561" width="5.5546875" style="44" customWidth="1"/>
    <col min="2562" max="2562" width="15.5546875" style="44" bestFit="1" customWidth="1"/>
    <col min="2563" max="2563" width="9.44140625" style="44" customWidth="1"/>
    <col min="2564" max="2564" width="12" style="44" customWidth="1"/>
    <col min="2565" max="2565" width="10.6640625" style="44" customWidth="1"/>
    <col min="2566" max="2566" width="10.5546875" style="44" customWidth="1"/>
    <col min="2567" max="2567" width="10.33203125" style="44" bestFit="1" customWidth="1"/>
    <col min="2568" max="2568" width="11" style="44" bestFit="1" customWidth="1"/>
    <col min="2569" max="2569" width="12.88671875" style="44" bestFit="1" customWidth="1"/>
    <col min="2570" max="2570" width="14.6640625" style="44" customWidth="1"/>
    <col min="2571" max="2571" width="14.44140625" style="44" customWidth="1"/>
    <col min="2572" max="2572" width="12.33203125" style="44" bestFit="1" customWidth="1"/>
    <col min="2573" max="2573" width="9.6640625" style="44" bestFit="1" customWidth="1"/>
    <col min="2574" max="2574" width="6.33203125" style="44" bestFit="1" customWidth="1"/>
    <col min="2575" max="2575" width="9.109375" style="44"/>
    <col min="2576" max="2576" width="12" style="44" customWidth="1"/>
    <col min="2577" max="2816" width="9.109375" style="44"/>
    <col min="2817" max="2817" width="5.5546875" style="44" customWidth="1"/>
    <col min="2818" max="2818" width="15.5546875" style="44" bestFit="1" customWidth="1"/>
    <col min="2819" max="2819" width="9.44140625" style="44" customWidth="1"/>
    <col min="2820" max="2820" width="12" style="44" customWidth="1"/>
    <col min="2821" max="2821" width="10.6640625" style="44" customWidth="1"/>
    <col min="2822" max="2822" width="10.5546875" style="44" customWidth="1"/>
    <col min="2823" max="2823" width="10.33203125" style="44" bestFit="1" customWidth="1"/>
    <col min="2824" max="2824" width="11" style="44" bestFit="1" customWidth="1"/>
    <col min="2825" max="2825" width="12.88671875" style="44" bestFit="1" customWidth="1"/>
    <col min="2826" max="2826" width="14.6640625" style="44" customWidth="1"/>
    <col min="2827" max="2827" width="14.44140625" style="44" customWidth="1"/>
    <col min="2828" max="2828" width="12.33203125" style="44" bestFit="1" customWidth="1"/>
    <col min="2829" max="2829" width="9.6640625" style="44" bestFit="1" customWidth="1"/>
    <col min="2830" max="2830" width="6.33203125" style="44" bestFit="1" customWidth="1"/>
    <col min="2831" max="2831" width="9.109375" style="44"/>
    <col min="2832" max="2832" width="12" style="44" customWidth="1"/>
    <col min="2833" max="3072" width="9.109375" style="44"/>
    <col min="3073" max="3073" width="5.5546875" style="44" customWidth="1"/>
    <col min="3074" max="3074" width="15.5546875" style="44" bestFit="1" customWidth="1"/>
    <col min="3075" max="3075" width="9.44140625" style="44" customWidth="1"/>
    <col min="3076" max="3076" width="12" style="44" customWidth="1"/>
    <col min="3077" max="3077" width="10.6640625" style="44" customWidth="1"/>
    <col min="3078" max="3078" width="10.5546875" style="44" customWidth="1"/>
    <col min="3079" max="3079" width="10.33203125" style="44" bestFit="1" customWidth="1"/>
    <col min="3080" max="3080" width="11" style="44" bestFit="1" customWidth="1"/>
    <col min="3081" max="3081" width="12.88671875" style="44" bestFit="1" customWidth="1"/>
    <col min="3082" max="3082" width="14.6640625" style="44" customWidth="1"/>
    <col min="3083" max="3083" width="14.44140625" style="44" customWidth="1"/>
    <col min="3084" max="3084" width="12.33203125" style="44" bestFit="1" customWidth="1"/>
    <col min="3085" max="3085" width="9.6640625" style="44" bestFit="1" customWidth="1"/>
    <col min="3086" max="3086" width="6.33203125" style="44" bestFit="1" customWidth="1"/>
    <col min="3087" max="3087" width="9.109375" style="44"/>
    <col min="3088" max="3088" width="12" style="44" customWidth="1"/>
    <col min="3089" max="3328" width="9.109375" style="44"/>
    <col min="3329" max="3329" width="5.5546875" style="44" customWidth="1"/>
    <col min="3330" max="3330" width="15.5546875" style="44" bestFit="1" customWidth="1"/>
    <col min="3331" max="3331" width="9.44140625" style="44" customWidth="1"/>
    <col min="3332" max="3332" width="12" style="44" customWidth="1"/>
    <col min="3333" max="3333" width="10.6640625" style="44" customWidth="1"/>
    <col min="3334" max="3334" width="10.5546875" style="44" customWidth="1"/>
    <col min="3335" max="3335" width="10.33203125" style="44" bestFit="1" customWidth="1"/>
    <col min="3336" max="3336" width="11" style="44" bestFit="1" customWidth="1"/>
    <col min="3337" max="3337" width="12.88671875" style="44" bestFit="1" customWidth="1"/>
    <col min="3338" max="3338" width="14.6640625" style="44" customWidth="1"/>
    <col min="3339" max="3339" width="14.44140625" style="44" customWidth="1"/>
    <col min="3340" max="3340" width="12.33203125" style="44" bestFit="1" customWidth="1"/>
    <col min="3341" max="3341" width="9.6640625" style="44" bestFit="1" customWidth="1"/>
    <col min="3342" max="3342" width="6.33203125" style="44" bestFit="1" customWidth="1"/>
    <col min="3343" max="3343" width="9.109375" style="44"/>
    <col min="3344" max="3344" width="12" style="44" customWidth="1"/>
    <col min="3345" max="3584" width="9.109375" style="44"/>
    <col min="3585" max="3585" width="5.5546875" style="44" customWidth="1"/>
    <col min="3586" max="3586" width="15.5546875" style="44" bestFit="1" customWidth="1"/>
    <col min="3587" max="3587" width="9.44140625" style="44" customWidth="1"/>
    <col min="3588" max="3588" width="12" style="44" customWidth="1"/>
    <col min="3589" max="3589" width="10.6640625" style="44" customWidth="1"/>
    <col min="3590" max="3590" width="10.5546875" style="44" customWidth="1"/>
    <col min="3591" max="3591" width="10.33203125" style="44" bestFit="1" customWidth="1"/>
    <col min="3592" max="3592" width="11" style="44" bestFit="1" customWidth="1"/>
    <col min="3593" max="3593" width="12.88671875" style="44" bestFit="1" customWidth="1"/>
    <col min="3594" max="3594" width="14.6640625" style="44" customWidth="1"/>
    <col min="3595" max="3595" width="14.44140625" style="44" customWidth="1"/>
    <col min="3596" max="3596" width="12.33203125" style="44" bestFit="1" customWidth="1"/>
    <col min="3597" max="3597" width="9.6640625" style="44" bestFit="1" customWidth="1"/>
    <col min="3598" max="3598" width="6.33203125" style="44" bestFit="1" customWidth="1"/>
    <col min="3599" max="3599" width="9.109375" style="44"/>
    <col min="3600" max="3600" width="12" style="44" customWidth="1"/>
    <col min="3601" max="3840" width="9.109375" style="44"/>
    <col min="3841" max="3841" width="5.5546875" style="44" customWidth="1"/>
    <col min="3842" max="3842" width="15.5546875" style="44" bestFit="1" customWidth="1"/>
    <col min="3843" max="3843" width="9.44140625" style="44" customWidth="1"/>
    <col min="3844" max="3844" width="12" style="44" customWidth="1"/>
    <col min="3845" max="3845" width="10.6640625" style="44" customWidth="1"/>
    <col min="3846" max="3846" width="10.5546875" style="44" customWidth="1"/>
    <col min="3847" max="3847" width="10.33203125" style="44" bestFit="1" customWidth="1"/>
    <col min="3848" max="3848" width="11" style="44" bestFit="1" customWidth="1"/>
    <col min="3849" max="3849" width="12.88671875" style="44" bestFit="1" customWidth="1"/>
    <col min="3850" max="3850" width="14.6640625" style="44" customWidth="1"/>
    <col min="3851" max="3851" width="14.44140625" style="44" customWidth="1"/>
    <col min="3852" max="3852" width="12.33203125" style="44" bestFit="1" customWidth="1"/>
    <col min="3853" max="3853" width="9.6640625" style="44" bestFit="1" customWidth="1"/>
    <col min="3854" max="3854" width="6.33203125" style="44" bestFit="1" customWidth="1"/>
    <col min="3855" max="3855" width="9.109375" style="44"/>
    <col min="3856" max="3856" width="12" style="44" customWidth="1"/>
    <col min="3857" max="4096" width="9.109375" style="44"/>
    <col min="4097" max="4097" width="5.5546875" style="44" customWidth="1"/>
    <col min="4098" max="4098" width="15.5546875" style="44" bestFit="1" customWidth="1"/>
    <col min="4099" max="4099" width="9.44140625" style="44" customWidth="1"/>
    <col min="4100" max="4100" width="12" style="44" customWidth="1"/>
    <col min="4101" max="4101" width="10.6640625" style="44" customWidth="1"/>
    <col min="4102" max="4102" width="10.5546875" style="44" customWidth="1"/>
    <col min="4103" max="4103" width="10.33203125" style="44" bestFit="1" customWidth="1"/>
    <col min="4104" max="4104" width="11" style="44" bestFit="1" customWidth="1"/>
    <col min="4105" max="4105" width="12.88671875" style="44" bestFit="1" customWidth="1"/>
    <col min="4106" max="4106" width="14.6640625" style="44" customWidth="1"/>
    <col min="4107" max="4107" width="14.44140625" style="44" customWidth="1"/>
    <col min="4108" max="4108" width="12.33203125" style="44" bestFit="1" customWidth="1"/>
    <col min="4109" max="4109" width="9.6640625" style="44" bestFit="1" customWidth="1"/>
    <col min="4110" max="4110" width="6.33203125" style="44" bestFit="1" customWidth="1"/>
    <col min="4111" max="4111" width="9.109375" style="44"/>
    <col min="4112" max="4112" width="12" style="44" customWidth="1"/>
    <col min="4113" max="4352" width="9.109375" style="44"/>
    <col min="4353" max="4353" width="5.5546875" style="44" customWidth="1"/>
    <col min="4354" max="4354" width="15.5546875" style="44" bestFit="1" customWidth="1"/>
    <col min="4355" max="4355" width="9.44140625" style="44" customWidth="1"/>
    <col min="4356" max="4356" width="12" style="44" customWidth="1"/>
    <col min="4357" max="4357" width="10.6640625" style="44" customWidth="1"/>
    <col min="4358" max="4358" width="10.5546875" style="44" customWidth="1"/>
    <col min="4359" max="4359" width="10.33203125" style="44" bestFit="1" customWidth="1"/>
    <col min="4360" max="4360" width="11" style="44" bestFit="1" customWidth="1"/>
    <col min="4361" max="4361" width="12.88671875" style="44" bestFit="1" customWidth="1"/>
    <col min="4362" max="4362" width="14.6640625" style="44" customWidth="1"/>
    <col min="4363" max="4363" width="14.44140625" style="44" customWidth="1"/>
    <col min="4364" max="4364" width="12.33203125" style="44" bestFit="1" customWidth="1"/>
    <col min="4365" max="4365" width="9.6640625" style="44" bestFit="1" customWidth="1"/>
    <col min="4366" max="4366" width="6.33203125" style="44" bestFit="1" customWidth="1"/>
    <col min="4367" max="4367" width="9.109375" style="44"/>
    <col min="4368" max="4368" width="12" style="44" customWidth="1"/>
    <col min="4369" max="4608" width="9.109375" style="44"/>
    <col min="4609" max="4609" width="5.5546875" style="44" customWidth="1"/>
    <col min="4610" max="4610" width="15.5546875" style="44" bestFit="1" customWidth="1"/>
    <col min="4611" max="4611" width="9.44140625" style="44" customWidth="1"/>
    <col min="4612" max="4612" width="12" style="44" customWidth="1"/>
    <col min="4613" max="4613" width="10.6640625" style="44" customWidth="1"/>
    <col min="4614" max="4614" width="10.5546875" style="44" customWidth="1"/>
    <col min="4615" max="4615" width="10.33203125" style="44" bestFit="1" customWidth="1"/>
    <col min="4616" max="4616" width="11" style="44" bestFit="1" customWidth="1"/>
    <col min="4617" max="4617" width="12.88671875" style="44" bestFit="1" customWidth="1"/>
    <col min="4618" max="4618" width="14.6640625" style="44" customWidth="1"/>
    <col min="4619" max="4619" width="14.44140625" style="44" customWidth="1"/>
    <col min="4620" max="4620" width="12.33203125" style="44" bestFit="1" customWidth="1"/>
    <col min="4621" max="4621" width="9.6640625" style="44" bestFit="1" customWidth="1"/>
    <col min="4622" max="4622" width="6.33203125" style="44" bestFit="1" customWidth="1"/>
    <col min="4623" max="4623" width="9.109375" style="44"/>
    <col min="4624" max="4624" width="12" style="44" customWidth="1"/>
    <col min="4625" max="4864" width="9.109375" style="44"/>
    <col min="4865" max="4865" width="5.5546875" style="44" customWidth="1"/>
    <col min="4866" max="4866" width="15.5546875" style="44" bestFit="1" customWidth="1"/>
    <col min="4867" max="4867" width="9.44140625" style="44" customWidth="1"/>
    <col min="4868" max="4868" width="12" style="44" customWidth="1"/>
    <col min="4869" max="4869" width="10.6640625" style="44" customWidth="1"/>
    <col min="4870" max="4870" width="10.5546875" style="44" customWidth="1"/>
    <col min="4871" max="4871" width="10.33203125" style="44" bestFit="1" customWidth="1"/>
    <col min="4872" max="4872" width="11" style="44" bestFit="1" customWidth="1"/>
    <col min="4873" max="4873" width="12.88671875" style="44" bestFit="1" customWidth="1"/>
    <col min="4874" max="4874" width="14.6640625" style="44" customWidth="1"/>
    <col min="4875" max="4875" width="14.44140625" style="44" customWidth="1"/>
    <col min="4876" max="4876" width="12.33203125" style="44" bestFit="1" customWidth="1"/>
    <col min="4877" max="4877" width="9.6640625" style="44" bestFit="1" customWidth="1"/>
    <col min="4878" max="4878" width="6.33203125" style="44" bestFit="1" customWidth="1"/>
    <col min="4879" max="4879" width="9.109375" style="44"/>
    <col min="4880" max="4880" width="12" style="44" customWidth="1"/>
    <col min="4881" max="5120" width="9.109375" style="44"/>
    <col min="5121" max="5121" width="5.5546875" style="44" customWidth="1"/>
    <col min="5122" max="5122" width="15.5546875" style="44" bestFit="1" customWidth="1"/>
    <col min="5123" max="5123" width="9.44140625" style="44" customWidth="1"/>
    <col min="5124" max="5124" width="12" style="44" customWidth="1"/>
    <col min="5125" max="5125" width="10.6640625" style="44" customWidth="1"/>
    <col min="5126" max="5126" width="10.5546875" style="44" customWidth="1"/>
    <col min="5127" max="5127" width="10.33203125" style="44" bestFit="1" customWidth="1"/>
    <col min="5128" max="5128" width="11" style="44" bestFit="1" customWidth="1"/>
    <col min="5129" max="5129" width="12.88671875" style="44" bestFit="1" customWidth="1"/>
    <col min="5130" max="5130" width="14.6640625" style="44" customWidth="1"/>
    <col min="5131" max="5131" width="14.44140625" style="44" customWidth="1"/>
    <col min="5132" max="5132" width="12.33203125" style="44" bestFit="1" customWidth="1"/>
    <col min="5133" max="5133" width="9.6640625" style="44" bestFit="1" customWidth="1"/>
    <col min="5134" max="5134" width="6.33203125" style="44" bestFit="1" customWidth="1"/>
    <col min="5135" max="5135" width="9.109375" style="44"/>
    <col min="5136" max="5136" width="12" style="44" customWidth="1"/>
    <col min="5137" max="5376" width="9.109375" style="44"/>
    <col min="5377" max="5377" width="5.5546875" style="44" customWidth="1"/>
    <col min="5378" max="5378" width="15.5546875" style="44" bestFit="1" customWidth="1"/>
    <col min="5379" max="5379" width="9.44140625" style="44" customWidth="1"/>
    <col min="5380" max="5380" width="12" style="44" customWidth="1"/>
    <col min="5381" max="5381" width="10.6640625" style="44" customWidth="1"/>
    <col min="5382" max="5382" width="10.5546875" style="44" customWidth="1"/>
    <col min="5383" max="5383" width="10.33203125" style="44" bestFit="1" customWidth="1"/>
    <col min="5384" max="5384" width="11" style="44" bestFit="1" customWidth="1"/>
    <col min="5385" max="5385" width="12.88671875" style="44" bestFit="1" customWidth="1"/>
    <col min="5386" max="5386" width="14.6640625" style="44" customWidth="1"/>
    <col min="5387" max="5387" width="14.44140625" style="44" customWidth="1"/>
    <col min="5388" max="5388" width="12.33203125" style="44" bestFit="1" customWidth="1"/>
    <col min="5389" max="5389" width="9.6640625" style="44" bestFit="1" customWidth="1"/>
    <col min="5390" max="5390" width="6.33203125" style="44" bestFit="1" customWidth="1"/>
    <col min="5391" max="5391" width="9.109375" style="44"/>
    <col min="5392" max="5392" width="12" style="44" customWidth="1"/>
    <col min="5393" max="5632" width="9.109375" style="44"/>
    <col min="5633" max="5633" width="5.5546875" style="44" customWidth="1"/>
    <col min="5634" max="5634" width="15.5546875" style="44" bestFit="1" customWidth="1"/>
    <col min="5635" max="5635" width="9.44140625" style="44" customWidth="1"/>
    <col min="5636" max="5636" width="12" style="44" customWidth="1"/>
    <col min="5637" max="5637" width="10.6640625" style="44" customWidth="1"/>
    <col min="5638" max="5638" width="10.5546875" style="44" customWidth="1"/>
    <col min="5639" max="5639" width="10.33203125" style="44" bestFit="1" customWidth="1"/>
    <col min="5640" max="5640" width="11" style="44" bestFit="1" customWidth="1"/>
    <col min="5641" max="5641" width="12.88671875" style="44" bestFit="1" customWidth="1"/>
    <col min="5642" max="5642" width="14.6640625" style="44" customWidth="1"/>
    <col min="5643" max="5643" width="14.44140625" style="44" customWidth="1"/>
    <col min="5644" max="5644" width="12.33203125" style="44" bestFit="1" customWidth="1"/>
    <col min="5645" max="5645" width="9.6640625" style="44" bestFit="1" customWidth="1"/>
    <col min="5646" max="5646" width="6.33203125" style="44" bestFit="1" customWidth="1"/>
    <col min="5647" max="5647" width="9.109375" style="44"/>
    <col min="5648" max="5648" width="12" style="44" customWidth="1"/>
    <col min="5649" max="5888" width="9.109375" style="44"/>
    <col min="5889" max="5889" width="5.5546875" style="44" customWidth="1"/>
    <col min="5890" max="5890" width="15.5546875" style="44" bestFit="1" customWidth="1"/>
    <col min="5891" max="5891" width="9.44140625" style="44" customWidth="1"/>
    <col min="5892" max="5892" width="12" style="44" customWidth="1"/>
    <col min="5893" max="5893" width="10.6640625" style="44" customWidth="1"/>
    <col min="5894" max="5894" width="10.5546875" style="44" customWidth="1"/>
    <col min="5895" max="5895" width="10.33203125" style="44" bestFit="1" customWidth="1"/>
    <col min="5896" max="5896" width="11" style="44" bestFit="1" customWidth="1"/>
    <col min="5897" max="5897" width="12.88671875" style="44" bestFit="1" customWidth="1"/>
    <col min="5898" max="5898" width="14.6640625" style="44" customWidth="1"/>
    <col min="5899" max="5899" width="14.44140625" style="44" customWidth="1"/>
    <col min="5900" max="5900" width="12.33203125" style="44" bestFit="1" customWidth="1"/>
    <col min="5901" max="5901" width="9.6640625" style="44" bestFit="1" customWidth="1"/>
    <col min="5902" max="5902" width="6.33203125" style="44" bestFit="1" customWidth="1"/>
    <col min="5903" max="5903" width="9.109375" style="44"/>
    <col min="5904" max="5904" width="12" style="44" customWidth="1"/>
    <col min="5905" max="6144" width="9.109375" style="44"/>
    <col min="6145" max="6145" width="5.5546875" style="44" customWidth="1"/>
    <col min="6146" max="6146" width="15.5546875" style="44" bestFit="1" customWidth="1"/>
    <col min="6147" max="6147" width="9.44140625" style="44" customWidth="1"/>
    <col min="6148" max="6148" width="12" style="44" customWidth="1"/>
    <col min="6149" max="6149" width="10.6640625" style="44" customWidth="1"/>
    <col min="6150" max="6150" width="10.5546875" style="44" customWidth="1"/>
    <col min="6151" max="6151" width="10.33203125" style="44" bestFit="1" customWidth="1"/>
    <col min="6152" max="6152" width="11" style="44" bestFit="1" customWidth="1"/>
    <col min="6153" max="6153" width="12.88671875" style="44" bestFit="1" customWidth="1"/>
    <col min="6154" max="6154" width="14.6640625" style="44" customWidth="1"/>
    <col min="6155" max="6155" width="14.44140625" style="44" customWidth="1"/>
    <col min="6156" max="6156" width="12.33203125" style="44" bestFit="1" customWidth="1"/>
    <col min="6157" max="6157" width="9.6640625" style="44" bestFit="1" customWidth="1"/>
    <col min="6158" max="6158" width="6.33203125" style="44" bestFit="1" customWidth="1"/>
    <col min="6159" max="6159" width="9.109375" style="44"/>
    <col min="6160" max="6160" width="12" style="44" customWidth="1"/>
    <col min="6161" max="6400" width="9.109375" style="44"/>
    <col min="6401" max="6401" width="5.5546875" style="44" customWidth="1"/>
    <col min="6402" max="6402" width="15.5546875" style="44" bestFit="1" customWidth="1"/>
    <col min="6403" max="6403" width="9.44140625" style="44" customWidth="1"/>
    <col min="6404" max="6404" width="12" style="44" customWidth="1"/>
    <col min="6405" max="6405" width="10.6640625" style="44" customWidth="1"/>
    <col min="6406" max="6406" width="10.5546875" style="44" customWidth="1"/>
    <col min="6407" max="6407" width="10.33203125" style="44" bestFit="1" customWidth="1"/>
    <col min="6408" max="6408" width="11" style="44" bestFit="1" customWidth="1"/>
    <col min="6409" max="6409" width="12.88671875" style="44" bestFit="1" customWidth="1"/>
    <col min="6410" max="6410" width="14.6640625" style="44" customWidth="1"/>
    <col min="6411" max="6411" width="14.44140625" style="44" customWidth="1"/>
    <col min="6412" max="6412" width="12.33203125" style="44" bestFit="1" customWidth="1"/>
    <col min="6413" max="6413" width="9.6640625" style="44" bestFit="1" customWidth="1"/>
    <col min="6414" max="6414" width="6.33203125" style="44" bestFit="1" customWidth="1"/>
    <col min="6415" max="6415" width="9.109375" style="44"/>
    <col min="6416" max="6416" width="12" style="44" customWidth="1"/>
    <col min="6417" max="6656" width="9.109375" style="44"/>
    <col min="6657" max="6657" width="5.5546875" style="44" customWidth="1"/>
    <col min="6658" max="6658" width="15.5546875" style="44" bestFit="1" customWidth="1"/>
    <col min="6659" max="6659" width="9.44140625" style="44" customWidth="1"/>
    <col min="6660" max="6660" width="12" style="44" customWidth="1"/>
    <col min="6661" max="6661" width="10.6640625" style="44" customWidth="1"/>
    <col min="6662" max="6662" width="10.5546875" style="44" customWidth="1"/>
    <col min="6663" max="6663" width="10.33203125" style="44" bestFit="1" customWidth="1"/>
    <col min="6664" max="6664" width="11" style="44" bestFit="1" customWidth="1"/>
    <col min="6665" max="6665" width="12.88671875" style="44" bestFit="1" customWidth="1"/>
    <col min="6666" max="6666" width="14.6640625" style="44" customWidth="1"/>
    <col min="6667" max="6667" width="14.44140625" style="44" customWidth="1"/>
    <col min="6668" max="6668" width="12.33203125" style="44" bestFit="1" customWidth="1"/>
    <col min="6669" max="6669" width="9.6640625" style="44" bestFit="1" customWidth="1"/>
    <col min="6670" max="6670" width="6.33203125" style="44" bestFit="1" customWidth="1"/>
    <col min="6671" max="6671" width="9.109375" style="44"/>
    <col min="6672" max="6672" width="12" style="44" customWidth="1"/>
    <col min="6673" max="6912" width="9.109375" style="44"/>
    <col min="6913" max="6913" width="5.5546875" style="44" customWidth="1"/>
    <col min="6914" max="6914" width="15.5546875" style="44" bestFit="1" customWidth="1"/>
    <col min="6915" max="6915" width="9.44140625" style="44" customWidth="1"/>
    <col min="6916" max="6916" width="12" style="44" customWidth="1"/>
    <col min="6917" max="6917" width="10.6640625" style="44" customWidth="1"/>
    <col min="6918" max="6918" width="10.5546875" style="44" customWidth="1"/>
    <col min="6919" max="6919" width="10.33203125" style="44" bestFit="1" customWidth="1"/>
    <col min="6920" max="6920" width="11" style="44" bestFit="1" customWidth="1"/>
    <col min="6921" max="6921" width="12.88671875" style="44" bestFit="1" customWidth="1"/>
    <col min="6922" max="6922" width="14.6640625" style="44" customWidth="1"/>
    <col min="6923" max="6923" width="14.44140625" style="44" customWidth="1"/>
    <col min="6924" max="6924" width="12.33203125" style="44" bestFit="1" customWidth="1"/>
    <col min="6925" max="6925" width="9.6640625" style="44" bestFit="1" customWidth="1"/>
    <col min="6926" max="6926" width="6.33203125" style="44" bestFit="1" customWidth="1"/>
    <col min="6927" max="6927" width="9.109375" style="44"/>
    <col min="6928" max="6928" width="12" style="44" customWidth="1"/>
    <col min="6929" max="7168" width="9.109375" style="44"/>
    <col min="7169" max="7169" width="5.5546875" style="44" customWidth="1"/>
    <col min="7170" max="7170" width="15.5546875" style="44" bestFit="1" customWidth="1"/>
    <col min="7171" max="7171" width="9.44140625" style="44" customWidth="1"/>
    <col min="7172" max="7172" width="12" style="44" customWidth="1"/>
    <col min="7173" max="7173" width="10.6640625" style="44" customWidth="1"/>
    <col min="7174" max="7174" width="10.5546875" style="44" customWidth="1"/>
    <col min="7175" max="7175" width="10.33203125" style="44" bestFit="1" customWidth="1"/>
    <col min="7176" max="7176" width="11" style="44" bestFit="1" customWidth="1"/>
    <col min="7177" max="7177" width="12.88671875" style="44" bestFit="1" customWidth="1"/>
    <col min="7178" max="7178" width="14.6640625" style="44" customWidth="1"/>
    <col min="7179" max="7179" width="14.44140625" style="44" customWidth="1"/>
    <col min="7180" max="7180" width="12.33203125" style="44" bestFit="1" customWidth="1"/>
    <col min="7181" max="7181" width="9.6640625" style="44" bestFit="1" customWidth="1"/>
    <col min="7182" max="7182" width="6.33203125" style="44" bestFit="1" customWidth="1"/>
    <col min="7183" max="7183" width="9.109375" style="44"/>
    <col min="7184" max="7184" width="12" style="44" customWidth="1"/>
    <col min="7185" max="7424" width="9.109375" style="44"/>
    <col min="7425" max="7425" width="5.5546875" style="44" customWidth="1"/>
    <col min="7426" max="7426" width="15.5546875" style="44" bestFit="1" customWidth="1"/>
    <col min="7427" max="7427" width="9.44140625" style="44" customWidth="1"/>
    <col min="7428" max="7428" width="12" style="44" customWidth="1"/>
    <col min="7429" max="7429" width="10.6640625" style="44" customWidth="1"/>
    <col min="7430" max="7430" width="10.5546875" style="44" customWidth="1"/>
    <col min="7431" max="7431" width="10.33203125" style="44" bestFit="1" customWidth="1"/>
    <col min="7432" max="7432" width="11" style="44" bestFit="1" customWidth="1"/>
    <col min="7433" max="7433" width="12.88671875" style="44" bestFit="1" customWidth="1"/>
    <col min="7434" max="7434" width="14.6640625" style="44" customWidth="1"/>
    <col min="7435" max="7435" width="14.44140625" style="44" customWidth="1"/>
    <col min="7436" max="7436" width="12.33203125" style="44" bestFit="1" customWidth="1"/>
    <col min="7437" max="7437" width="9.6640625" style="44" bestFit="1" customWidth="1"/>
    <col min="7438" max="7438" width="6.33203125" style="44" bestFit="1" customWidth="1"/>
    <col min="7439" max="7439" width="9.109375" style="44"/>
    <col min="7440" max="7440" width="12" style="44" customWidth="1"/>
    <col min="7441" max="7680" width="9.109375" style="44"/>
    <col min="7681" max="7681" width="5.5546875" style="44" customWidth="1"/>
    <col min="7682" max="7682" width="15.5546875" style="44" bestFit="1" customWidth="1"/>
    <col min="7683" max="7683" width="9.44140625" style="44" customWidth="1"/>
    <col min="7684" max="7684" width="12" style="44" customWidth="1"/>
    <col min="7685" max="7685" width="10.6640625" style="44" customWidth="1"/>
    <col min="7686" max="7686" width="10.5546875" style="44" customWidth="1"/>
    <col min="7687" max="7687" width="10.33203125" style="44" bestFit="1" customWidth="1"/>
    <col min="7688" max="7688" width="11" style="44" bestFit="1" customWidth="1"/>
    <col min="7689" max="7689" width="12.88671875" style="44" bestFit="1" customWidth="1"/>
    <col min="7690" max="7690" width="14.6640625" style="44" customWidth="1"/>
    <col min="7691" max="7691" width="14.44140625" style="44" customWidth="1"/>
    <col min="7692" max="7692" width="12.33203125" style="44" bestFit="1" customWidth="1"/>
    <col min="7693" max="7693" width="9.6640625" style="44" bestFit="1" customWidth="1"/>
    <col min="7694" max="7694" width="6.33203125" style="44" bestFit="1" customWidth="1"/>
    <col min="7695" max="7695" width="9.109375" style="44"/>
    <col min="7696" max="7696" width="12" style="44" customWidth="1"/>
    <col min="7697" max="7936" width="9.109375" style="44"/>
    <col min="7937" max="7937" width="5.5546875" style="44" customWidth="1"/>
    <col min="7938" max="7938" width="15.5546875" style="44" bestFit="1" customWidth="1"/>
    <col min="7939" max="7939" width="9.44140625" style="44" customWidth="1"/>
    <col min="7940" max="7940" width="12" style="44" customWidth="1"/>
    <col min="7941" max="7941" width="10.6640625" style="44" customWidth="1"/>
    <col min="7942" max="7942" width="10.5546875" style="44" customWidth="1"/>
    <col min="7943" max="7943" width="10.33203125" style="44" bestFit="1" customWidth="1"/>
    <col min="7944" max="7944" width="11" style="44" bestFit="1" customWidth="1"/>
    <col min="7945" max="7945" width="12.88671875" style="44" bestFit="1" customWidth="1"/>
    <col min="7946" max="7946" width="14.6640625" style="44" customWidth="1"/>
    <col min="7947" max="7947" width="14.44140625" style="44" customWidth="1"/>
    <col min="7948" max="7948" width="12.33203125" style="44" bestFit="1" customWidth="1"/>
    <col min="7949" max="7949" width="9.6640625" style="44" bestFit="1" customWidth="1"/>
    <col min="7950" max="7950" width="6.33203125" style="44" bestFit="1" customWidth="1"/>
    <col min="7951" max="7951" width="9.109375" style="44"/>
    <col min="7952" max="7952" width="12" style="44" customWidth="1"/>
    <col min="7953" max="8192" width="9.109375" style="44"/>
    <col min="8193" max="8193" width="5.5546875" style="44" customWidth="1"/>
    <col min="8194" max="8194" width="15.5546875" style="44" bestFit="1" customWidth="1"/>
    <col min="8195" max="8195" width="9.44140625" style="44" customWidth="1"/>
    <col min="8196" max="8196" width="12" style="44" customWidth="1"/>
    <col min="8197" max="8197" width="10.6640625" style="44" customWidth="1"/>
    <col min="8198" max="8198" width="10.5546875" style="44" customWidth="1"/>
    <col min="8199" max="8199" width="10.33203125" style="44" bestFit="1" customWidth="1"/>
    <col min="8200" max="8200" width="11" style="44" bestFit="1" customWidth="1"/>
    <col min="8201" max="8201" width="12.88671875" style="44" bestFit="1" customWidth="1"/>
    <col min="8202" max="8202" width="14.6640625" style="44" customWidth="1"/>
    <col min="8203" max="8203" width="14.44140625" style="44" customWidth="1"/>
    <col min="8204" max="8204" width="12.33203125" style="44" bestFit="1" customWidth="1"/>
    <col min="8205" max="8205" width="9.6640625" style="44" bestFit="1" customWidth="1"/>
    <col min="8206" max="8206" width="6.33203125" style="44" bestFit="1" customWidth="1"/>
    <col min="8207" max="8207" width="9.109375" style="44"/>
    <col min="8208" max="8208" width="12" style="44" customWidth="1"/>
    <col min="8209" max="8448" width="9.109375" style="44"/>
    <col min="8449" max="8449" width="5.5546875" style="44" customWidth="1"/>
    <col min="8450" max="8450" width="15.5546875" style="44" bestFit="1" customWidth="1"/>
    <col min="8451" max="8451" width="9.44140625" style="44" customWidth="1"/>
    <col min="8452" max="8452" width="12" style="44" customWidth="1"/>
    <col min="8453" max="8453" width="10.6640625" style="44" customWidth="1"/>
    <col min="8454" max="8454" width="10.5546875" style="44" customWidth="1"/>
    <col min="8455" max="8455" width="10.33203125" style="44" bestFit="1" customWidth="1"/>
    <col min="8456" max="8456" width="11" style="44" bestFit="1" customWidth="1"/>
    <col min="8457" max="8457" width="12.88671875" style="44" bestFit="1" customWidth="1"/>
    <col min="8458" max="8458" width="14.6640625" style="44" customWidth="1"/>
    <col min="8459" max="8459" width="14.44140625" style="44" customWidth="1"/>
    <col min="8460" max="8460" width="12.33203125" style="44" bestFit="1" customWidth="1"/>
    <col min="8461" max="8461" width="9.6640625" style="44" bestFit="1" customWidth="1"/>
    <col min="8462" max="8462" width="6.33203125" style="44" bestFit="1" customWidth="1"/>
    <col min="8463" max="8463" width="9.109375" style="44"/>
    <col min="8464" max="8464" width="12" style="44" customWidth="1"/>
    <col min="8465" max="8704" width="9.109375" style="44"/>
    <col min="8705" max="8705" width="5.5546875" style="44" customWidth="1"/>
    <col min="8706" max="8706" width="15.5546875" style="44" bestFit="1" customWidth="1"/>
    <col min="8707" max="8707" width="9.44140625" style="44" customWidth="1"/>
    <col min="8708" max="8708" width="12" style="44" customWidth="1"/>
    <col min="8709" max="8709" width="10.6640625" style="44" customWidth="1"/>
    <col min="8710" max="8710" width="10.5546875" style="44" customWidth="1"/>
    <col min="8711" max="8711" width="10.33203125" style="44" bestFit="1" customWidth="1"/>
    <col min="8712" max="8712" width="11" style="44" bestFit="1" customWidth="1"/>
    <col min="8713" max="8713" width="12.88671875" style="44" bestFit="1" customWidth="1"/>
    <col min="8714" max="8714" width="14.6640625" style="44" customWidth="1"/>
    <col min="8715" max="8715" width="14.44140625" style="44" customWidth="1"/>
    <col min="8716" max="8716" width="12.33203125" style="44" bestFit="1" customWidth="1"/>
    <col min="8717" max="8717" width="9.6640625" style="44" bestFit="1" customWidth="1"/>
    <col min="8718" max="8718" width="6.33203125" style="44" bestFit="1" customWidth="1"/>
    <col min="8719" max="8719" width="9.109375" style="44"/>
    <col min="8720" max="8720" width="12" style="44" customWidth="1"/>
    <col min="8721" max="8960" width="9.109375" style="44"/>
    <col min="8961" max="8961" width="5.5546875" style="44" customWidth="1"/>
    <col min="8962" max="8962" width="15.5546875" style="44" bestFit="1" customWidth="1"/>
    <col min="8963" max="8963" width="9.44140625" style="44" customWidth="1"/>
    <col min="8964" max="8964" width="12" style="44" customWidth="1"/>
    <col min="8965" max="8965" width="10.6640625" style="44" customWidth="1"/>
    <col min="8966" max="8966" width="10.5546875" style="44" customWidth="1"/>
    <col min="8967" max="8967" width="10.33203125" style="44" bestFit="1" customWidth="1"/>
    <col min="8968" max="8968" width="11" style="44" bestFit="1" customWidth="1"/>
    <col min="8969" max="8969" width="12.88671875" style="44" bestFit="1" customWidth="1"/>
    <col min="8970" max="8970" width="14.6640625" style="44" customWidth="1"/>
    <col min="8971" max="8971" width="14.44140625" style="44" customWidth="1"/>
    <col min="8972" max="8972" width="12.33203125" style="44" bestFit="1" customWidth="1"/>
    <col min="8973" max="8973" width="9.6640625" style="44" bestFit="1" customWidth="1"/>
    <col min="8974" max="8974" width="6.33203125" style="44" bestFit="1" customWidth="1"/>
    <col min="8975" max="8975" width="9.109375" style="44"/>
    <col min="8976" max="8976" width="12" style="44" customWidth="1"/>
    <col min="8977" max="9216" width="9.109375" style="44"/>
    <col min="9217" max="9217" width="5.5546875" style="44" customWidth="1"/>
    <col min="9218" max="9218" width="15.5546875" style="44" bestFit="1" customWidth="1"/>
    <col min="9219" max="9219" width="9.44140625" style="44" customWidth="1"/>
    <col min="9220" max="9220" width="12" style="44" customWidth="1"/>
    <col min="9221" max="9221" width="10.6640625" style="44" customWidth="1"/>
    <col min="9222" max="9222" width="10.5546875" style="44" customWidth="1"/>
    <col min="9223" max="9223" width="10.33203125" style="44" bestFit="1" customWidth="1"/>
    <col min="9224" max="9224" width="11" style="44" bestFit="1" customWidth="1"/>
    <col min="9225" max="9225" width="12.88671875" style="44" bestFit="1" customWidth="1"/>
    <col min="9226" max="9226" width="14.6640625" style="44" customWidth="1"/>
    <col min="9227" max="9227" width="14.44140625" style="44" customWidth="1"/>
    <col min="9228" max="9228" width="12.33203125" style="44" bestFit="1" customWidth="1"/>
    <col min="9229" max="9229" width="9.6640625" style="44" bestFit="1" customWidth="1"/>
    <col min="9230" max="9230" width="6.33203125" style="44" bestFit="1" customWidth="1"/>
    <col min="9231" max="9231" width="9.109375" style="44"/>
    <col min="9232" max="9232" width="12" style="44" customWidth="1"/>
    <col min="9233" max="9472" width="9.109375" style="44"/>
    <col min="9473" max="9473" width="5.5546875" style="44" customWidth="1"/>
    <col min="9474" max="9474" width="15.5546875" style="44" bestFit="1" customWidth="1"/>
    <col min="9475" max="9475" width="9.44140625" style="44" customWidth="1"/>
    <col min="9476" max="9476" width="12" style="44" customWidth="1"/>
    <col min="9477" max="9477" width="10.6640625" style="44" customWidth="1"/>
    <col min="9478" max="9478" width="10.5546875" style="44" customWidth="1"/>
    <col min="9479" max="9479" width="10.33203125" style="44" bestFit="1" customWidth="1"/>
    <col min="9480" max="9480" width="11" style="44" bestFit="1" customWidth="1"/>
    <col min="9481" max="9481" width="12.88671875" style="44" bestFit="1" customWidth="1"/>
    <col min="9482" max="9482" width="14.6640625" style="44" customWidth="1"/>
    <col min="9483" max="9483" width="14.44140625" style="44" customWidth="1"/>
    <col min="9484" max="9484" width="12.33203125" style="44" bestFit="1" customWidth="1"/>
    <col min="9485" max="9485" width="9.6640625" style="44" bestFit="1" customWidth="1"/>
    <col min="9486" max="9486" width="6.33203125" style="44" bestFit="1" customWidth="1"/>
    <col min="9487" max="9487" width="9.109375" style="44"/>
    <col min="9488" max="9488" width="12" style="44" customWidth="1"/>
    <col min="9489" max="9728" width="9.109375" style="44"/>
    <col min="9729" max="9729" width="5.5546875" style="44" customWidth="1"/>
    <col min="9730" max="9730" width="15.5546875" style="44" bestFit="1" customWidth="1"/>
    <col min="9731" max="9731" width="9.44140625" style="44" customWidth="1"/>
    <col min="9732" max="9732" width="12" style="44" customWidth="1"/>
    <col min="9733" max="9733" width="10.6640625" style="44" customWidth="1"/>
    <col min="9734" max="9734" width="10.5546875" style="44" customWidth="1"/>
    <col min="9735" max="9735" width="10.33203125" style="44" bestFit="1" customWidth="1"/>
    <col min="9736" max="9736" width="11" style="44" bestFit="1" customWidth="1"/>
    <col min="9737" max="9737" width="12.88671875" style="44" bestFit="1" customWidth="1"/>
    <col min="9738" max="9738" width="14.6640625" style="44" customWidth="1"/>
    <col min="9739" max="9739" width="14.44140625" style="44" customWidth="1"/>
    <col min="9740" max="9740" width="12.33203125" style="44" bestFit="1" customWidth="1"/>
    <col min="9741" max="9741" width="9.6640625" style="44" bestFit="1" customWidth="1"/>
    <col min="9742" max="9742" width="6.33203125" style="44" bestFit="1" customWidth="1"/>
    <col min="9743" max="9743" width="9.109375" style="44"/>
    <col min="9744" max="9744" width="12" style="44" customWidth="1"/>
    <col min="9745" max="9984" width="9.109375" style="44"/>
    <col min="9985" max="9985" width="5.5546875" style="44" customWidth="1"/>
    <col min="9986" max="9986" width="15.5546875" style="44" bestFit="1" customWidth="1"/>
    <col min="9987" max="9987" width="9.44140625" style="44" customWidth="1"/>
    <col min="9988" max="9988" width="12" style="44" customWidth="1"/>
    <col min="9989" max="9989" width="10.6640625" style="44" customWidth="1"/>
    <col min="9990" max="9990" width="10.5546875" style="44" customWidth="1"/>
    <col min="9991" max="9991" width="10.33203125" style="44" bestFit="1" customWidth="1"/>
    <col min="9992" max="9992" width="11" style="44" bestFit="1" customWidth="1"/>
    <col min="9993" max="9993" width="12.88671875" style="44" bestFit="1" customWidth="1"/>
    <col min="9994" max="9994" width="14.6640625" style="44" customWidth="1"/>
    <col min="9995" max="9995" width="14.44140625" style="44" customWidth="1"/>
    <col min="9996" max="9996" width="12.33203125" style="44" bestFit="1" customWidth="1"/>
    <col min="9997" max="9997" width="9.6640625" style="44" bestFit="1" customWidth="1"/>
    <col min="9998" max="9998" width="6.33203125" style="44" bestFit="1" customWidth="1"/>
    <col min="9999" max="9999" width="9.109375" style="44"/>
    <col min="10000" max="10000" width="12" style="44" customWidth="1"/>
    <col min="10001" max="10240" width="9.109375" style="44"/>
    <col min="10241" max="10241" width="5.5546875" style="44" customWidth="1"/>
    <col min="10242" max="10242" width="15.5546875" style="44" bestFit="1" customWidth="1"/>
    <col min="10243" max="10243" width="9.44140625" style="44" customWidth="1"/>
    <col min="10244" max="10244" width="12" style="44" customWidth="1"/>
    <col min="10245" max="10245" width="10.6640625" style="44" customWidth="1"/>
    <col min="10246" max="10246" width="10.5546875" style="44" customWidth="1"/>
    <col min="10247" max="10247" width="10.33203125" style="44" bestFit="1" customWidth="1"/>
    <col min="10248" max="10248" width="11" style="44" bestFit="1" customWidth="1"/>
    <col min="10249" max="10249" width="12.88671875" style="44" bestFit="1" customWidth="1"/>
    <col min="10250" max="10250" width="14.6640625" style="44" customWidth="1"/>
    <col min="10251" max="10251" width="14.44140625" style="44" customWidth="1"/>
    <col min="10252" max="10252" width="12.33203125" style="44" bestFit="1" customWidth="1"/>
    <col min="10253" max="10253" width="9.6640625" style="44" bestFit="1" customWidth="1"/>
    <col min="10254" max="10254" width="6.33203125" style="44" bestFit="1" customWidth="1"/>
    <col min="10255" max="10255" width="9.109375" style="44"/>
    <col min="10256" max="10256" width="12" style="44" customWidth="1"/>
    <col min="10257" max="10496" width="9.109375" style="44"/>
    <col min="10497" max="10497" width="5.5546875" style="44" customWidth="1"/>
    <col min="10498" max="10498" width="15.5546875" style="44" bestFit="1" customWidth="1"/>
    <col min="10499" max="10499" width="9.44140625" style="44" customWidth="1"/>
    <col min="10500" max="10500" width="12" style="44" customWidth="1"/>
    <col min="10501" max="10501" width="10.6640625" style="44" customWidth="1"/>
    <col min="10502" max="10502" width="10.5546875" style="44" customWidth="1"/>
    <col min="10503" max="10503" width="10.33203125" style="44" bestFit="1" customWidth="1"/>
    <col min="10504" max="10504" width="11" style="44" bestFit="1" customWidth="1"/>
    <col min="10505" max="10505" width="12.88671875" style="44" bestFit="1" customWidth="1"/>
    <col min="10506" max="10506" width="14.6640625" style="44" customWidth="1"/>
    <col min="10507" max="10507" width="14.44140625" style="44" customWidth="1"/>
    <col min="10508" max="10508" width="12.33203125" style="44" bestFit="1" customWidth="1"/>
    <col min="10509" max="10509" width="9.6640625" style="44" bestFit="1" customWidth="1"/>
    <col min="10510" max="10510" width="6.33203125" style="44" bestFit="1" customWidth="1"/>
    <col min="10511" max="10511" width="9.109375" style="44"/>
    <col min="10512" max="10512" width="12" style="44" customWidth="1"/>
    <col min="10513" max="10752" width="9.109375" style="44"/>
    <col min="10753" max="10753" width="5.5546875" style="44" customWidth="1"/>
    <col min="10754" max="10754" width="15.5546875" style="44" bestFit="1" customWidth="1"/>
    <col min="10755" max="10755" width="9.44140625" style="44" customWidth="1"/>
    <col min="10756" max="10756" width="12" style="44" customWidth="1"/>
    <col min="10757" max="10757" width="10.6640625" style="44" customWidth="1"/>
    <col min="10758" max="10758" width="10.5546875" style="44" customWidth="1"/>
    <col min="10759" max="10759" width="10.33203125" style="44" bestFit="1" customWidth="1"/>
    <col min="10760" max="10760" width="11" style="44" bestFit="1" customWidth="1"/>
    <col min="10761" max="10761" width="12.88671875" style="44" bestFit="1" customWidth="1"/>
    <col min="10762" max="10762" width="14.6640625" style="44" customWidth="1"/>
    <col min="10763" max="10763" width="14.44140625" style="44" customWidth="1"/>
    <col min="10764" max="10764" width="12.33203125" style="44" bestFit="1" customWidth="1"/>
    <col min="10765" max="10765" width="9.6640625" style="44" bestFit="1" customWidth="1"/>
    <col min="10766" max="10766" width="6.33203125" style="44" bestFit="1" customWidth="1"/>
    <col min="10767" max="10767" width="9.109375" style="44"/>
    <col min="10768" max="10768" width="12" style="44" customWidth="1"/>
    <col min="10769" max="11008" width="9.109375" style="44"/>
    <col min="11009" max="11009" width="5.5546875" style="44" customWidth="1"/>
    <col min="11010" max="11010" width="15.5546875" style="44" bestFit="1" customWidth="1"/>
    <col min="11011" max="11011" width="9.44140625" style="44" customWidth="1"/>
    <col min="11012" max="11012" width="12" style="44" customWidth="1"/>
    <col min="11013" max="11013" width="10.6640625" style="44" customWidth="1"/>
    <col min="11014" max="11014" width="10.5546875" style="44" customWidth="1"/>
    <col min="11015" max="11015" width="10.33203125" style="44" bestFit="1" customWidth="1"/>
    <col min="11016" max="11016" width="11" style="44" bestFit="1" customWidth="1"/>
    <col min="11017" max="11017" width="12.88671875" style="44" bestFit="1" customWidth="1"/>
    <col min="11018" max="11018" width="14.6640625" style="44" customWidth="1"/>
    <col min="11019" max="11019" width="14.44140625" style="44" customWidth="1"/>
    <col min="11020" max="11020" width="12.33203125" style="44" bestFit="1" customWidth="1"/>
    <col min="11021" max="11021" width="9.6640625" style="44" bestFit="1" customWidth="1"/>
    <col min="11022" max="11022" width="6.33203125" style="44" bestFit="1" customWidth="1"/>
    <col min="11023" max="11023" width="9.109375" style="44"/>
    <col min="11024" max="11024" width="12" style="44" customWidth="1"/>
    <col min="11025" max="11264" width="9.109375" style="44"/>
    <col min="11265" max="11265" width="5.5546875" style="44" customWidth="1"/>
    <col min="11266" max="11266" width="15.5546875" style="44" bestFit="1" customWidth="1"/>
    <col min="11267" max="11267" width="9.44140625" style="44" customWidth="1"/>
    <col min="11268" max="11268" width="12" style="44" customWidth="1"/>
    <col min="11269" max="11269" width="10.6640625" style="44" customWidth="1"/>
    <col min="11270" max="11270" width="10.5546875" style="44" customWidth="1"/>
    <col min="11271" max="11271" width="10.33203125" style="44" bestFit="1" customWidth="1"/>
    <col min="11272" max="11272" width="11" style="44" bestFit="1" customWidth="1"/>
    <col min="11273" max="11273" width="12.88671875" style="44" bestFit="1" customWidth="1"/>
    <col min="11274" max="11274" width="14.6640625" style="44" customWidth="1"/>
    <col min="11275" max="11275" width="14.44140625" style="44" customWidth="1"/>
    <col min="11276" max="11276" width="12.33203125" style="44" bestFit="1" customWidth="1"/>
    <col min="11277" max="11277" width="9.6640625" style="44" bestFit="1" customWidth="1"/>
    <col min="11278" max="11278" width="6.33203125" style="44" bestFit="1" customWidth="1"/>
    <col min="11279" max="11279" width="9.109375" style="44"/>
    <col min="11280" max="11280" width="12" style="44" customWidth="1"/>
    <col min="11281" max="11520" width="9.109375" style="44"/>
    <col min="11521" max="11521" width="5.5546875" style="44" customWidth="1"/>
    <col min="11522" max="11522" width="15.5546875" style="44" bestFit="1" customWidth="1"/>
    <col min="11523" max="11523" width="9.44140625" style="44" customWidth="1"/>
    <col min="11524" max="11524" width="12" style="44" customWidth="1"/>
    <col min="11525" max="11525" width="10.6640625" style="44" customWidth="1"/>
    <col min="11526" max="11526" width="10.5546875" style="44" customWidth="1"/>
    <col min="11527" max="11527" width="10.33203125" style="44" bestFit="1" customWidth="1"/>
    <col min="11528" max="11528" width="11" style="44" bestFit="1" customWidth="1"/>
    <col min="11529" max="11529" width="12.88671875" style="44" bestFit="1" customWidth="1"/>
    <col min="11530" max="11530" width="14.6640625" style="44" customWidth="1"/>
    <col min="11531" max="11531" width="14.44140625" style="44" customWidth="1"/>
    <col min="11532" max="11532" width="12.33203125" style="44" bestFit="1" customWidth="1"/>
    <col min="11533" max="11533" width="9.6640625" style="44" bestFit="1" customWidth="1"/>
    <col min="11534" max="11534" width="6.33203125" style="44" bestFit="1" customWidth="1"/>
    <col min="11535" max="11535" width="9.109375" style="44"/>
    <col min="11536" max="11536" width="12" style="44" customWidth="1"/>
    <col min="11537" max="11776" width="9.109375" style="44"/>
    <col min="11777" max="11777" width="5.5546875" style="44" customWidth="1"/>
    <col min="11778" max="11778" width="15.5546875" style="44" bestFit="1" customWidth="1"/>
    <col min="11779" max="11779" width="9.44140625" style="44" customWidth="1"/>
    <col min="11780" max="11780" width="12" style="44" customWidth="1"/>
    <col min="11781" max="11781" width="10.6640625" style="44" customWidth="1"/>
    <col min="11782" max="11782" width="10.5546875" style="44" customWidth="1"/>
    <col min="11783" max="11783" width="10.33203125" style="44" bestFit="1" customWidth="1"/>
    <col min="11784" max="11784" width="11" style="44" bestFit="1" customWidth="1"/>
    <col min="11785" max="11785" width="12.88671875" style="44" bestFit="1" customWidth="1"/>
    <col min="11786" max="11786" width="14.6640625" style="44" customWidth="1"/>
    <col min="11787" max="11787" width="14.44140625" style="44" customWidth="1"/>
    <col min="11788" max="11788" width="12.33203125" style="44" bestFit="1" customWidth="1"/>
    <col min="11789" max="11789" width="9.6640625" style="44" bestFit="1" customWidth="1"/>
    <col min="11790" max="11790" width="6.33203125" style="44" bestFit="1" customWidth="1"/>
    <col min="11791" max="11791" width="9.109375" style="44"/>
    <col min="11792" max="11792" width="12" style="44" customWidth="1"/>
    <col min="11793" max="12032" width="9.109375" style="44"/>
    <col min="12033" max="12033" width="5.5546875" style="44" customWidth="1"/>
    <col min="12034" max="12034" width="15.5546875" style="44" bestFit="1" customWidth="1"/>
    <col min="12035" max="12035" width="9.44140625" style="44" customWidth="1"/>
    <col min="12036" max="12036" width="12" style="44" customWidth="1"/>
    <col min="12037" max="12037" width="10.6640625" style="44" customWidth="1"/>
    <col min="12038" max="12038" width="10.5546875" style="44" customWidth="1"/>
    <col min="12039" max="12039" width="10.33203125" style="44" bestFit="1" customWidth="1"/>
    <col min="12040" max="12040" width="11" style="44" bestFit="1" customWidth="1"/>
    <col min="12041" max="12041" width="12.88671875" style="44" bestFit="1" customWidth="1"/>
    <col min="12042" max="12042" width="14.6640625" style="44" customWidth="1"/>
    <col min="12043" max="12043" width="14.44140625" style="44" customWidth="1"/>
    <col min="12044" max="12044" width="12.33203125" style="44" bestFit="1" customWidth="1"/>
    <col min="12045" max="12045" width="9.6640625" style="44" bestFit="1" customWidth="1"/>
    <col min="12046" max="12046" width="6.33203125" style="44" bestFit="1" customWidth="1"/>
    <col min="12047" max="12047" width="9.109375" style="44"/>
    <col min="12048" max="12048" width="12" style="44" customWidth="1"/>
    <col min="12049" max="12288" width="9.109375" style="44"/>
    <col min="12289" max="12289" width="5.5546875" style="44" customWidth="1"/>
    <col min="12290" max="12290" width="15.5546875" style="44" bestFit="1" customWidth="1"/>
    <col min="12291" max="12291" width="9.44140625" style="44" customWidth="1"/>
    <col min="12292" max="12292" width="12" style="44" customWidth="1"/>
    <col min="12293" max="12293" width="10.6640625" style="44" customWidth="1"/>
    <col min="12294" max="12294" width="10.5546875" style="44" customWidth="1"/>
    <col min="12295" max="12295" width="10.33203125" style="44" bestFit="1" customWidth="1"/>
    <col min="12296" max="12296" width="11" style="44" bestFit="1" customWidth="1"/>
    <col min="12297" max="12297" width="12.88671875" style="44" bestFit="1" customWidth="1"/>
    <col min="12298" max="12298" width="14.6640625" style="44" customWidth="1"/>
    <col min="12299" max="12299" width="14.44140625" style="44" customWidth="1"/>
    <col min="12300" max="12300" width="12.33203125" style="44" bestFit="1" customWidth="1"/>
    <col min="12301" max="12301" width="9.6640625" style="44" bestFit="1" customWidth="1"/>
    <col min="12302" max="12302" width="6.33203125" style="44" bestFit="1" customWidth="1"/>
    <col min="12303" max="12303" width="9.109375" style="44"/>
    <col min="12304" max="12304" width="12" style="44" customWidth="1"/>
    <col min="12305" max="12544" width="9.109375" style="44"/>
    <col min="12545" max="12545" width="5.5546875" style="44" customWidth="1"/>
    <col min="12546" max="12546" width="15.5546875" style="44" bestFit="1" customWidth="1"/>
    <col min="12547" max="12547" width="9.44140625" style="44" customWidth="1"/>
    <col min="12548" max="12548" width="12" style="44" customWidth="1"/>
    <col min="12549" max="12549" width="10.6640625" style="44" customWidth="1"/>
    <col min="12550" max="12550" width="10.5546875" style="44" customWidth="1"/>
    <col min="12551" max="12551" width="10.33203125" style="44" bestFit="1" customWidth="1"/>
    <col min="12552" max="12552" width="11" style="44" bestFit="1" customWidth="1"/>
    <col min="12553" max="12553" width="12.88671875" style="44" bestFit="1" customWidth="1"/>
    <col min="12554" max="12554" width="14.6640625" style="44" customWidth="1"/>
    <col min="12555" max="12555" width="14.44140625" style="44" customWidth="1"/>
    <col min="12556" max="12556" width="12.33203125" style="44" bestFit="1" customWidth="1"/>
    <col min="12557" max="12557" width="9.6640625" style="44" bestFit="1" customWidth="1"/>
    <col min="12558" max="12558" width="6.33203125" style="44" bestFit="1" customWidth="1"/>
    <col min="12559" max="12559" width="9.109375" style="44"/>
    <col min="12560" max="12560" width="12" style="44" customWidth="1"/>
    <col min="12561" max="12800" width="9.109375" style="44"/>
    <col min="12801" max="12801" width="5.5546875" style="44" customWidth="1"/>
    <col min="12802" max="12802" width="15.5546875" style="44" bestFit="1" customWidth="1"/>
    <col min="12803" max="12803" width="9.44140625" style="44" customWidth="1"/>
    <col min="12804" max="12804" width="12" style="44" customWidth="1"/>
    <col min="12805" max="12805" width="10.6640625" style="44" customWidth="1"/>
    <col min="12806" max="12806" width="10.5546875" style="44" customWidth="1"/>
    <col min="12807" max="12807" width="10.33203125" style="44" bestFit="1" customWidth="1"/>
    <col min="12808" max="12808" width="11" style="44" bestFit="1" customWidth="1"/>
    <col min="12809" max="12809" width="12.88671875" style="44" bestFit="1" customWidth="1"/>
    <col min="12810" max="12810" width="14.6640625" style="44" customWidth="1"/>
    <col min="12811" max="12811" width="14.44140625" style="44" customWidth="1"/>
    <col min="12812" max="12812" width="12.33203125" style="44" bestFit="1" customWidth="1"/>
    <col min="12813" max="12813" width="9.6640625" style="44" bestFit="1" customWidth="1"/>
    <col min="12814" max="12814" width="6.33203125" style="44" bestFit="1" customWidth="1"/>
    <col min="12815" max="12815" width="9.109375" style="44"/>
    <col min="12816" max="12816" width="12" style="44" customWidth="1"/>
    <col min="12817" max="13056" width="9.109375" style="44"/>
    <col min="13057" max="13057" width="5.5546875" style="44" customWidth="1"/>
    <col min="13058" max="13058" width="15.5546875" style="44" bestFit="1" customWidth="1"/>
    <col min="13059" max="13059" width="9.44140625" style="44" customWidth="1"/>
    <col min="13060" max="13060" width="12" style="44" customWidth="1"/>
    <col min="13061" max="13061" width="10.6640625" style="44" customWidth="1"/>
    <col min="13062" max="13062" width="10.5546875" style="44" customWidth="1"/>
    <col min="13063" max="13063" width="10.33203125" style="44" bestFit="1" customWidth="1"/>
    <col min="13064" max="13064" width="11" style="44" bestFit="1" customWidth="1"/>
    <col min="13065" max="13065" width="12.88671875" style="44" bestFit="1" customWidth="1"/>
    <col min="13066" max="13066" width="14.6640625" style="44" customWidth="1"/>
    <col min="13067" max="13067" width="14.44140625" style="44" customWidth="1"/>
    <col min="13068" max="13068" width="12.33203125" style="44" bestFit="1" customWidth="1"/>
    <col min="13069" max="13069" width="9.6640625" style="44" bestFit="1" customWidth="1"/>
    <col min="13070" max="13070" width="6.33203125" style="44" bestFit="1" customWidth="1"/>
    <col min="13071" max="13071" width="9.109375" style="44"/>
    <col min="13072" max="13072" width="12" style="44" customWidth="1"/>
    <col min="13073" max="13312" width="9.109375" style="44"/>
    <col min="13313" max="13313" width="5.5546875" style="44" customWidth="1"/>
    <col min="13314" max="13314" width="15.5546875" style="44" bestFit="1" customWidth="1"/>
    <col min="13315" max="13315" width="9.44140625" style="44" customWidth="1"/>
    <col min="13316" max="13316" width="12" style="44" customWidth="1"/>
    <col min="13317" max="13317" width="10.6640625" style="44" customWidth="1"/>
    <col min="13318" max="13318" width="10.5546875" style="44" customWidth="1"/>
    <col min="13319" max="13319" width="10.33203125" style="44" bestFit="1" customWidth="1"/>
    <col min="13320" max="13320" width="11" style="44" bestFit="1" customWidth="1"/>
    <col min="13321" max="13321" width="12.88671875" style="44" bestFit="1" customWidth="1"/>
    <col min="13322" max="13322" width="14.6640625" style="44" customWidth="1"/>
    <col min="13323" max="13323" width="14.44140625" style="44" customWidth="1"/>
    <col min="13324" max="13324" width="12.33203125" style="44" bestFit="1" customWidth="1"/>
    <col min="13325" max="13325" width="9.6640625" style="44" bestFit="1" customWidth="1"/>
    <col min="13326" max="13326" width="6.33203125" style="44" bestFit="1" customWidth="1"/>
    <col min="13327" max="13327" width="9.109375" style="44"/>
    <col min="13328" max="13328" width="12" style="44" customWidth="1"/>
    <col min="13329" max="13568" width="9.109375" style="44"/>
    <col min="13569" max="13569" width="5.5546875" style="44" customWidth="1"/>
    <col min="13570" max="13570" width="15.5546875" style="44" bestFit="1" customWidth="1"/>
    <col min="13571" max="13571" width="9.44140625" style="44" customWidth="1"/>
    <col min="13572" max="13572" width="12" style="44" customWidth="1"/>
    <col min="13573" max="13573" width="10.6640625" style="44" customWidth="1"/>
    <col min="13574" max="13574" width="10.5546875" style="44" customWidth="1"/>
    <col min="13575" max="13575" width="10.33203125" style="44" bestFit="1" customWidth="1"/>
    <col min="13576" max="13576" width="11" style="44" bestFit="1" customWidth="1"/>
    <col min="13577" max="13577" width="12.88671875" style="44" bestFit="1" customWidth="1"/>
    <col min="13578" max="13578" width="14.6640625" style="44" customWidth="1"/>
    <col min="13579" max="13579" width="14.44140625" style="44" customWidth="1"/>
    <col min="13580" max="13580" width="12.33203125" style="44" bestFit="1" customWidth="1"/>
    <col min="13581" max="13581" width="9.6640625" style="44" bestFit="1" customWidth="1"/>
    <col min="13582" max="13582" width="6.33203125" style="44" bestFit="1" customWidth="1"/>
    <col min="13583" max="13583" width="9.109375" style="44"/>
    <col min="13584" max="13584" width="12" style="44" customWidth="1"/>
    <col min="13585" max="13824" width="9.109375" style="44"/>
    <col min="13825" max="13825" width="5.5546875" style="44" customWidth="1"/>
    <col min="13826" max="13826" width="15.5546875" style="44" bestFit="1" customWidth="1"/>
    <col min="13827" max="13827" width="9.44140625" style="44" customWidth="1"/>
    <col min="13828" max="13828" width="12" style="44" customWidth="1"/>
    <col min="13829" max="13829" width="10.6640625" style="44" customWidth="1"/>
    <col min="13830" max="13830" width="10.5546875" style="44" customWidth="1"/>
    <col min="13831" max="13831" width="10.33203125" style="44" bestFit="1" customWidth="1"/>
    <col min="13832" max="13832" width="11" style="44" bestFit="1" customWidth="1"/>
    <col min="13833" max="13833" width="12.88671875" style="44" bestFit="1" customWidth="1"/>
    <col min="13834" max="13834" width="14.6640625" style="44" customWidth="1"/>
    <col min="13835" max="13835" width="14.44140625" style="44" customWidth="1"/>
    <col min="13836" max="13836" width="12.33203125" style="44" bestFit="1" customWidth="1"/>
    <col min="13837" max="13837" width="9.6640625" style="44" bestFit="1" customWidth="1"/>
    <col min="13838" max="13838" width="6.33203125" style="44" bestFit="1" customWidth="1"/>
    <col min="13839" max="13839" width="9.109375" style="44"/>
    <col min="13840" max="13840" width="12" style="44" customWidth="1"/>
    <col min="13841" max="14080" width="9.109375" style="44"/>
    <col min="14081" max="14081" width="5.5546875" style="44" customWidth="1"/>
    <col min="14082" max="14082" width="15.5546875" style="44" bestFit="1" customWidth="1"/>
    <col min="14083" max="14083" width="9.44140625" style="44" customWidth="1"/>
    <col min="14084" max="14084" width="12" style="44" customWidth="1"/>
    <col min="14085" max="14085" width="10.6640625" style="44" customWidth="1"/>
    <col min="14086" max="14086" width="10.5546875" style="44" customWidth="1"/>
    <col min="14087" max="14087" width="10.33203125" style="44" bestFit="1" customWidth="1"/>
    <col min="14088" max="14088" width="11" style="44" bestFit="1" customWidth="1"/>
    <col min="14089" max="14089" width="12.88671875" style="44" bestFit="1" customWidth="1"/>
    <col min="14090" max="14090" width="14.6640625" style="44" customWidth="1"/>
    <col min="14091" max="14091" width="14.44140625" style="44" customWidth="1"/>
    <col min="14092" max="14092" width="12.33203125" style="44" bestFit="1" customWidth="1"/>
    <col min="14093" max="14093" width="9.6640625" style="44" bestFit="1" customWidth="1"/>
    <col min="14094" max="14094" width="6.33203125" style="44" bestFit="1" customWidth="1"/>
    <col min="14095" max="14095" width="9.109375" style="44"/>
    <col min="14096" max="14096" width="12" style="44" customWidth="1"/>
    <col min="14097" max="14336" width="9.109375" style="44"/>
    <col min="14337" max="14337" width="5.5546875" style="44" customWidth="1"/>
    <col min="14338" max="14338" width="15.5546875" style="44" bestFit="1" customWidth="1"/>
    <col min="14339" max="14339" width="9.44140625" style="44" customWidth="1"/>
    <col min="14340" max="14340" width="12" style="44" customWidth="1"/>
    <col min="14341" max="14341" width="10.6640625" style="44" customWidth="1"/>
    <col min="14342" max="14342" width="10.5546875" style="44" customWidth="1"/>
    <col min="14343" max="14343" width="10.33203125" style="44" bestFit="1" customWidth="1"/>
    <col min="14344" max="14344" width="11" style="44" bestFit="1" customWidth="1"/>
    <col min="14345" max="14345" width="12.88671875" style="44" bestFit="1" customWidth="1"/>
    <col min="14346" max="14346" width="14.6640625" style="44" customWidth="1"/>
    <col min="14347" max="14347" width="14.44140625" style="44" customWidth="1"/>
    <col min="14348" max="14348" width="12.33203125" style="44" bestFit="1" customWidth="1"/>
    <col min="14349" max="14349" width="9.6640625" style="44" bestFit="1" customWidth="1"/>
    <col min="14350" max="14350" width="6.33203125" style="44" bestFit="1" customWidth="1"/>
    <col min="14351" max="14351" width="9.109375" style="44"/>
    <col min="14352" max="14352" width="12" style="44" customWidth="1"/>
    <col min="14353" max="14592" width="9.109375" style="44"/>
    <col min="14593" max="14593" width="5.5546875" style="44" customWidth="1"/>
    <col min="14594" max="14594" width="15.5546875" style="44" bestFit="1" customWidth="1"/>
    <col min="14595" max="14595" width="9.44140625" style="44" customWidth="1"/>
    <col min="14596" max="14596" width="12" style="44" customWidth="1"/>
    <col min="14597" max="14597" width="10.6640625" style="44" customWidth="1"/>
    <col min="14598" max="14598" width="10.5546875" style="44" customWidth="1"/>
    <col min="14599" max="14599" width="10.33203125" style="44" bestFit="1" customWidth="1"/>
    <col min="14600" max="14600" width="11" style="44" bestFit="1" customWidth="1"/>
    <col min="14601" max="14601" width="12.88671875" style="44" bestFit="1" customWidth="1"/>
    <col min="14602" max="14602" width="14.6640625" style="44" customWidth="1"/>
    <col min="14603" max="14603" width="14.44140625" style="44" customWidth="1"/>
    <col min="14604" max="14604" width="12.33203125" style="44" bestFit="1" customWidth="1"/>
    <col min="14605" max="14605" width="9.6640625" style="44" bestFit="1" customWidth="1"/>
    <col min="14606" max="14606" width="6.33203125" style="44" bestFit="1" customWidth="1"/>
    <col min="14607" max="14607" width="9.109375" style="44"/>
    <col min="14608" max="14608" width="12" style="44" customWidth="1"/>
    <col min="14609" max="14848" width="9.109375" style="44"/>
    <col min="14849" max="14849" width="5.5546875" style="44" customWidth="1"/>
    <col min="14850" max="14850" width="15.5546875" style="44" bestFit="1" customWidth="1"/>
    <col min="14851" max="14851" width="9.44140625" style="44" customWidth="1"/>
    <col min="14852" max="14852" width="12" style="44" customWidth="1"/>
    <col min="14853" max="14853" width="10.6640625" style="44" customWidth="1"/>
    <col min="14854" max="14854" width="10.5546875" style="44" customWidth="1"/>
    <col min="14855" max="14855" width="10.33203125" style="44" bestFit="1" customWidth="1"/>
    <col min="14856" max="14856" width="11" style="44" bestFit="1" customWidth="1"/>
    <col min="14857" max="14857" width="12.88671875" style="44" bestFit="1" customWidth="1"/>
    <col min="14858" max="14858" width="14.6640625" style="44" customWidth="1"/>
    <col min="14859" max="14859" width="14.44140625" style="44" customWidth="1"/>
    <col min="14860" max="14860" width="12.33203125" style="44" bestFit="1" customWidth="1"/>
    <col min="14861" max="14861" width="9.6640625" style="44" bestFit="1" customWidth="1"/>
    <col min="14862" max="14862" width="6.33203125" style="44" bestFit="1" customWidth="1"/>
    <col min="14863" max="14863" width="9.109375" style="44"/>
    <col min="14864" max="14864" width="12" style="44" customWidth="1"/>
    <col min="14865" max="15104" width="9.109375" style="44"/>
    <col min="15105" max="15105" width="5.5546875" style="44" customWidth="1"/>
    <col min="15106" max="15106" width="15.5546875" style="44" bestFit="1" customWidth="1"/>
    <col min="15107" max="15107" width="9.44140625" style="44" customWidth="1"/>
    <col min="15108" max="15108" width="12" style="44" customWidth="1"/>
    <col min="15109" max="15109" width="10.6640625" style="44" customWidth="1"/>
    <col min="15110" max="15110" width="10.5546875" style="44" customWidth="1"/>
    <col min="15111" max="15111" width="10.33203125" style="44" bestFit="1" customWidth="1"/>
    <col min="15112" max="15112" width="11" style="44" bestFit="1" customWidth="1"/>
    <col min="15113" max="15113" width="12.88671875" style="44" bestFit="1" customWidth="1"/>
    <col min="15114" max="15114" width="14.6640625" style="44" customWidth="1"/>
    <col min="15115" max="15115" width="14.44140625" style="44" customWidth="1"/>
    <col min="15116" max="15116" width="12.33203125" style="44" bestFit="1" customWidth="1"/>
    <col min="15117" max="15117" width="9.6640625" style="44" bestFit="1" customWidth="1"/>
    <col min="15118" max="15118" width="6.33203125" style="44" bestFit="1" customWidth="1"/>
    <col min="15119" max="15119" width="9.109375" style="44"/>
    <col min="15120" max="15120" width="12" style="44" customWidth="1"/>
    <col min="15121" max="15360" width="9.109375" style="44"/>
    <col min="15361" max="15361" width="5.5546875" style="44" customWidth="1"/>
    <col min="15362" max="15362" width="15.5546875" style="44" bestFit="1" customWidth="1"/>
    <col min="15363" max="15363" width="9.44140625" style="44" customWidth="1"/>
    <col min="15364" max="15364" width="12" style="44" customWidth="1"/>
    <col min="15365" max="15365" width="10.6640625" style="44" customWidth="1"/>
    <col min="15366" max="15366" width="10.5546875" style="44" customWidth="1"/>
    <col min="15367" max="15367" width="10.33203125" style="44" bestFit="1" customWidth="1"/>
    <col min="15368" max="15368" width="11" style="44" bestFit="1" customWidth="1"/>
    <col min="15369" max="15369" width="12.88671875" style="44" bestFit="1" customWidth="1"/>
    <col min="15370" max="15370" width="14.6640625" style="44" customWidth="1"/>
    <col min="15371" max="15371" width="14.44140625" style="44" customWidth="1"/>
    <col min="15372" max="15372" width="12.33203125" style="44" bestFit="1" customWidth="1"/>
    <col min="15373" max="15373" width="9.6640625" style="44" bestFit="1" customWidth="1"/>
    <col min="15374" max="15374" width="6.33203125" style="44" bestFit="1" customWidth="1"/>
    <col min="15375" max="15375" width="9.109375" style="44"/>
    <col min="15376" max="15376" width="12" style="44" customWidth="1"/>
    <col min="15377" max="15616" width="9.109375" style="44"/>
    <col min="15617" max="15617" width="5.5546875" style="44" customWidth="1"/>
    <col min="15618" max="15618" width="15.5546875" style="44" bestFit="1" customWidth="1"/>
    <col min="15619" max="15619" width="9.44140625" style="44" customWidth="1"/>
    <col min="15620" max="15620" width="12" style="44" customWidth="1"/>
    <col min="15621" max="15621" width="10.6640625" style="44" customWidth="1"/>
    <col min="15622" max="15622" width="10.5546875" style="44" customWidth="1"/>
    <col min="15623" max="15623" width="10.33203125" style="44" bestFit="1" customWidth="1"/>
    <col min="15624" max="15624" width="11" style="44" bestFit="1" customWidth="1"/>
    <col min="15625" max="15625" width="12.88671875" style="44" bestFit="1" customWidth="1"/>
    <col min="15626" max="15626" width="14.6640625" style="44" customWidth="1"/>
    <col min="15627" max="15627" width="14.44140625" style="44" customWidth="1"/>
    <col min="15628" max="15628" width="12.33203125" style="44" bestFit="1" customWidth="1"/>
    <col min="15629" max="15629" width="9.6640625" style="44" bestFit="1" customWidth="1"/>
    <col min="15630" max="15630" width="6.33203125" style="44" bestFit="1" customWidth="1"/>
    <col min="15631" max="15631" width="9.109375" style="44"/>
    <col min="15632" max="15632" width="12" style="44" customWidth="1"/>
    <col min="15633" max="15872" width="9.109375" style="44"/>
    <col min="15873" max="15873" width="5.5546875" style="44" customWidth="1"/>
    <col min="15874" max="15874" width="15.5546875" style="44" bestFit="1" customWidth="1"/>
    <col min="15875" max="15875" width="9.44140625" style="44" customWidth="1"/>
    <col min="15876" max="15876" width="12" style="44" customWidth="1"/>
    <col min="15877" max="15877" width="10.6640625" style="44" customWidth="1"/>
    <col min="15878" max="15878" width="10.5546875" style="44" customWidth="1"/>
    <col min="15879" max="15879" width="10.33203125" style="44" bestFit="1" customWidth="1"/>
    <col min="15880" max="15880" width="11" style="44" bestFit="1" customWidth="1"/>
    <col min="15881" max="15881" width="12.88671875" style="44" bestFit="1" customWidth="1"/>
    <col min="15882" max="15882" width="14.6640625" style="44" customWidth="1"/>
    <col min="15883" max="15883" width="14.44140625" style="44" customWidth="1"/>
    <col min="15884" max="15884" width="12.33203125" style="44" bestFit="1" customWidth="1"/>
    <col min="15885" max="15885" width="9.6640625" style="44" bestFit="1" customWidth="1"/>
    <col min="15886" max="15886" width="6.33203125" style="44" bestFit="1" customWidth="1"/>
    <col min="15887" max="15887" width="9.109375" style="44"/>
    <col min="15888" max="15888" width="12" style="44" customWidth="1"/>
    <col min="15889" max="16128" width="9.109375" style="44"/>
    <col min="16129" max="16129" width="5.5546875" style="44" customWidth="1"/>
    <col min="16130" max="16130" width="15.5546875" style="44" bestFit="1" customWidth="1"/>
    <col min="16131" max="16131" width="9.44140625" style="44" customWidth="1"/>
    <col min="16132" max="16132" width="12" style="44" customWidth="1"/>
    <col min="16133" max="16133" width="10.6640625" style="44" customWidth="1"/>
    <col min="16134" max="16134" width="10.5546875" style="44" customWidth="1"/>
    <col min="16135" max="16135" width="10.33203125" style="44" bestFit="1" customWidth="1"/>
    <col min="16136" max="16136" width="11" style="44" bestFit="1" customWidth="1"/>
    <col min="16137" max="16137" width="12.88671875" style="44" bestFit="1" customWidth="1"/>
    <col min="16138" max="16138" width="14.6640625" style="44" customWidth="1"/>
    <col min="16139" max="16139" width="14.44140625" style="44" customWidth="1"/>
    <col min="16140" max="16140" width="12.33203125" style="44" bestFit="1" customWidth="1"/>
    <col min="16141" max="16141" width="9.6640625" style="44" bestFit="1" customWidth="1"/>
    <col min="16142" max="16142" width="6.33203125" style="44" bestFit="1" customWidth="1"/>
    <col min="16143" max="16143" width="9.109375" style="44"/>
    <col min="16144" max="16144" width="12" style="44" customWidth="1"/>
    <col min="16145" max="16384" width="9.109375" style="44"/>
  </cols>
  <sheetData>
    <row r="1" spans="2:17" s="1" customFormat="1" x14ac:dyDescent="0.25"/>
    <row r="2" spans="2:17" s="1" customFormat="1" x14ac:dyDescent="0.25"/>
    <row r="3" spans="2:17" s="1" customFormat="1" x14ac:dyDescent="0.25"/>
    <row r="4" spans="2:17" s="1" customFormat="1" x14ac:dyDescent="0.25"/>
    <row r="5" spans="2:17" s="1" customFormat="1" x14ac:dyDescent="0.25"/>
    <row r="6" spans="2:17" s="1" customFormat="1" x14ac:dyDescent="0.25"/>
    <row r="7" spans="2:17" s="1" customFormat="1" x14ac:dyDescent="0.25"/>
    <row r="8" spans="2:17" s="1" customFormat="1" x14ac:dyDescent="0.25"/>
    <row r="9" spans="2:17" ht="13.8" thickBot="1" x14ac:dyDescent="0.3"/>
    <row r="10" spans="2:17" ht="13.8" thickBot="1" x14ac:dyDescent="0.3">
      <c r="B10" s="45" t="s">
        <v>0</v>
      </c>
      <c r="C10" s="46"/>
      <c r="E10" s="73" t="s">
        <v>53</v>
      </c>
      <c r="O10" s="51"/>
      <c r="P10" s="145" t="s">
        <v>62</v>
      </c>
      <c r="Q10" s="145"/>
    </row>
    <row r="11" spans="2:17" ht="13.8" thickBot="1" x14ac:dyDescent="0.3">
      <c r="B11" s="47" t="s">
        <v>33</v>
      </c>
      <c r="C11" s="117">
        <v>5.3E-3</v>
      </c>
      <c r="E11" s="132" t="s">
        <v>44</v>
      </c>
      <c r="F11" s="128" t="s">
        <v>45</v>
      </c>
      <c r="G11" s="128" t="s">
        <v>61</v>
      </c>
      <c r="H11" s="127" t="s">
        <v>48</v>
      </c>
      <c r="I11" s="128" t="s">
        <v>49</v>
      </c>
      <c r="J11" s="127" t="s">
        <v>50</v>
      </c>
      <c r="K11" s="128" t="s">
        <v>51</v>
      </c>
      <c r="L11" s="127" t="s">
        <v>58</v>
      </c>
      <c r="M11" s="128" t="s">
        <v>59</v>
      </c>
      <c r="N11" s="128" t="s">
        <v>63</v>
      </c>
      <c r="O11" s="136" t="s">
        <v>60</v>
      </c>
      <c r="P11" s="128" t="s">
        <v>59</v>
      </c>
      <c r="Q11" s="128" t="s">
        <v>63</v>
      </c>
    </row>
    <row r="12" spans="2:17" x14ac:dyDescent="0.25">
      <c r="B12" s="55" t="s">
        <v>1</v>
      </c>
      <c r="C12" s="118">
        <v>0.4</v>
      </c>
      <c r="E12" s="133">
        <v>0</v>
      </c>
      <c r="F12" s="129">
        <v>0.03</v>
      </c>
      <c r="G12" s="129" t="str">
        <f>"["&amp;E12&amp;"-"&amp;F12*100&amp;"%]"</f>
        <v>[0-3%]</v>
      </c>
      <c r="H12" s="100" cm="1">
        <f t="array" aca="1" ref="H12:L12" ca="1">TRANSPOSE(CalcTrancheExpectedLossBC(E12,F12,$C$16,$C$11,$C$12,GCCorrel,GCCorrel,$C$13,$C$14,$C$17))</f>
        <v>0.42737043845280176</v>
      </c>
      <c r="I12" s="101">
        <f ca="1"/>
        <v>3.2972277586441114</v>
      </c>
      <c r="J12" s="100">
        <f ca="1"/>
        <v>0.12961507961723134</v>
      </c>
      <c r="K12" s="99">
        <f ca="1"/>
        <v>0.47780830475495673</v>
      </c>
      <c r="L12" s="113">
        <f ca="1"/>
        <v>1.5625E-2</v>
      </c>
      <c r="M12" s="123">
        <v>0.2505</v>
      </c>
      <c r="N12" s="123">
        <f ca="1">H12-5%*I12</f>
        <v>0.26250905052059614</v>
      </c>
      <c r="O12" s="116">
        <f ca="1">N12/M12-1</f>
        <v>4.7940321439505551E-2</v>
      </c>
      <c r="P12" s="137">
        <f ca="1">(M12+5%*I12)/I12*10000</f>
        <v>1259.7291371312813</v>
      </c>
      <c r="Q12" s="137">
        <f t="shared" ref="Q12" ca="1" si="0">J12*10000</f>
        <v>1296.1507961723134</v>
      </c>
    </row>
    <row r="13" spans="2:17" x14ac:dyDescent="0.25">
      <c r="B13" s="55" t="s">
        <v>2</v>
      </c>
      <c r="C13" s="119">
        <v>5</v>
      </c>
      <c r="E13" s="134">
        <v>0.03</v>
      </c>
      <c r="F13" s="130">
        <v>0.06</v>
      </c>
      <c r="G13" s="130" t="str">
        <f>"["&amp;E13*100&amp;"-"&amp;F13*100&amp;"%]"</f>
        <v>[3-6%]</v>
      </c>
      <c r="H13" s="27" cm="1">
        <f t="array" aca="1" ref="H13:L13" ca="1">TRANSPOSE(CalcTrancheExpectedLossBC(E13,F13,$C$16,$C$11,$C$12,GCCorrel,GCCorrel,$C$13,$C$14,$C$17))</f>
        <v>0.16619422849697454</v>
      </c>
      <c r="I13" s="82">
        <f ca="1"/>
        <v>4.0121351626595008</v>
      </c>
      <c r="J13" s="27">
        <f ca="1"/>
        <v>4.142288875103857E-2</v>
      </c>
      <c r="K13" s="107">
        <f ca="1"/>
        <v>0.18751037462858766</v>
      </c>
      <c r="L13" s="114">
        <f ca="1"/>
        <v>1.5625E-2</v>
      </c>
      <c r="M13" s="122">
        <v>156.30000000000001</v>
      </c>
      <c r="N13" s="122">
        <f ca="1">J13*10000</f>
        <v>414.22888751038568</v>
      </c>
      <c r="O13" s="125">
        <f t="shared" ref="O13:O16" ca="1" si="1">N13/M13-1</f>
        <v>1.6502168106870481</v>
      </c>
      <c r="P13" s="122">
        <f>M13</f>
        <v>156.30000000000001</v>
      </c>
      <c r="Q13" s="122">
        <f ca="1">J13*10000</f>
        <v>414.22888751038568</v>
      </c>
    </row>
    <row r="14" spans="2:17" x14ac:dyDescent="0.25">
      <c r="B14" s="55" t="s">
        <v>38</v>
      </c>
      <c r="C14" s="120">
        <v>125</v>
      </c>
      <c r="E14" s="134">
        <v>0.06</v>
      </c>
      <c r="F14" s="130">
        <v>0.09</v>
      </c>
      <c r="G14" s="130" t="str">
        <f t="shared" ref="G14:G17" si="2">"["&amp;E14*100&amp;"-"&amp;F14*100&amp;"%]"</f>
        <v>[6-9%]</v>
      </c>
      <c r="H14" s="27" cm="1">
        <f t="array" aca="1" ref="H14:L14" ca="1">TRANSPOSE(CalcTrancheExpectedLossBC(E14,F14,$C$16,$C$11,$C$12,GCCorrel,GCCorrel,$C$13,$C$14,$C$17))</f>
        <v>8.0542840102033081E-2</v>
      </c>
      <c r="I14" s="82">
        <f ca="1"/>
        <v>4.2276854767296097</v>
      </c>
      <c r="J14" s="27">
        <f ca="1"/>
        <v>1.9051284809469368E-2</v>
      </c>
      <c r="K14" s="107">
        <f ca="1"/>
        <v>9.1085611143597478E-2</v>
      </c>
      <c r="L14" s="114">
        <f ca="1"/>
        <v>1.5625E-2</v>
      </c>
      <c r="M14" s="122">
        <v>84.9</v>
      </c>
      <c r="N14" s="122">
        <f ca="1">J14*10000</f>
        <v>190.51284809469368</v>
      </c>
      <c r="O14" s="125">
        <f t="shared" ca="1" si="1"/>
        <v>1.2439675865099371</v>
      </c>
      <c r="P14" s="122">
        <f t="shared" ref="P14:P17" si="3">M14</f>
        <v>84.9</v>
      </c>
      <c r="Q14" s="122">
        <f t="shared" ref="Q14:Q17" ca="1" si="4">J14*10000</f>
        <v>190.51284809469368</v>
      </c>
    </row>
    <row r="15" spans="2:17" x14ac:dyDescent="0.25">
      <c r="B15" s="55" t="s">
        <v>5</v>
      </c>
      <c r="C15" s="118">
        <v>0.3</v>
      </c>
      <c r="E15" s="134">
        <v>0.09</v>
      </c>
      <c r="F15" s="130">
        <v>0.12</v>
      </c>
      <c r="G15" s="130" t="str">
        <f t="shared" si="2"/>
        <v>[9-12%]</v>
      </c>
      <c r="H15" s="27" cm="1">
        <f t="array" aca="1" ref="H15:L15" ca="1">TRANSPOSE(CalcTrancheExpectedLossBC(E15,F15,$C$16,$C$11,$C$12,GCCorrel,GCCorrel,$C$13,$C$14,$C$17))</f>
        <v>4.2763727342377218E-2</v>
      </c>
      <c r="I15" s="82">
        <f ca="1"/>
        <v>4.3204793162177131</v>
      </c>
      <c r="J15" s="27">
        <f ca="1"/>
        <v>9.8979127574701509E-3</v>
      </c>
      <c r="K15" s="107">
        <f ca="1"/>
        <v>4.8407587862862034E-2</v>
      </c>
      <c r="L15" s="114">
        <f ca="1"/>
        <v>1.5625E-2</v>
      </c>
      <c r="M15" s="122">
        <v>60.5</v>
      </c>
      <c r="N15" s="122">
        <f ca="1">J15*10000</f>
        <v>98.979127574701508</v>
      </c>
      <c r="O15" s="125">
        <f t="shared" ca="1" si="1"/>
        <v>0.63601863759837207</v>
      </c>
      <c r="P15" s="122">
        <f t="shared" si="3"/>
        <v>60.5</v>
      </c>
      <c r="Q15" s="122">
        <f t="shared" ca="1" si="4"/>
        <v>98.979127574701508</v>
      </c>
    </row>
    <row r="16" spans="2:17" x14ac:dyDescent="0.25">
      <c r="B16" s="55" t="s">
        <v>39</v>
      </c>
      <c r="C16" s="118">
        <v>0.05</v>
      </c>
      <c r="E16" s="134">
        <v>0.12</v>
      </c>
      <c r="F16" s="130">
        <v>0.22</v>
      </c>
      <c r="G16" s="130" t="str">
        <f t="shared" si="2"/>
        <v>[12-22%]</v>
      </c>
      <c r="H16" s="27" cm="1">
        <f t="array" aca="1" ref="H16:L16" ca="1">TRANSPOSE(CalcTrancheExpectedLossBC(E16,F16,$C$16,$C$11,$C$12,GCCorrel,GCCorrel,$C$13,$C$14,$C$17))</f>
        <v>1.3508284326300114E-2</v>
      </c>
      <c r="I16" s="82">
        <f ca="1"/>
        <v>4.3914584449045257</v>
      </c>
      <c r="J16" s="27">
        <f ca="1"/>
        <v>3.0760360130411748E-3</v>
      </c>
      <c r="K16" s="107">
        <f ca="1"/>
        <v>1.530197487594705E-2</v>
      </c>
      <c r="L16" s="114">
        <f ca="1"/>
        <v>7.8125E-3</v>
      </c>
      <c r="M16" s="122">
        <v>34.299999999999997</v>
      </c>
      <c r="N16" s="122">
        <f ca="1">J16*10000</f>
        <v>30.760360130411748</v>
      </c>
      <c r="O16" s="125">
        <f t="shared" ca="1" si="1"/>
        <v>-0.1031964976556341</v>
      </c>
      <c r="P16" s="122">
        <f t="shared" si="3"/>
        <v>34.299999999999997</v>
      </c>
      <c r="Q16" s="122">
        <f t="shared" ca="1" si="4"/>
        <v>30.760360130411748</v>
      </c>
    </row>
    <row r="17" spans="1:17" ht="13.8" thickBot="1" x14ac:dyDescent="0.3">
      <c r="B17" s="55" t="s">
        <v>40</v>
      </c>
      <c r="C17" s="120">
        <v>50</v>
      </c>
      <c r="E17" s="135">
        <v>0.22</v>
      </c>
      <c r="F17" s="131">
        <v>1</v>
      </c>
      <c r="G17" s="131" t="str">
        <f t="shared" si="2"/>
        <v>[22-100%]</v>
      </c>
      <c r="H17" s="91" cm="1">
        <f t="array" aca="1" ref="H17:L17" ca="1">TRANSPOSE(CalcTrancheExpectedLossBC(E17,F17,$C$16,$C$11,$C$12,GCCorrel,GCCorrel,$C$13,$C$14,$C$17))</f>
        <v>2.8144927457777205E-4</v>
      </c>
      <c r="I17" s="92">
        <f ca="1"/>
        <v>4.4233082120969351</v>
      </c>
      <c r="J17" s="91">
        <f ca="1"/>
        <v>6.3628682669695046E-5</v>
      </c>
      <c r="K17" s="111">
        <f ca="1"/>
        <v>3.1892169077944629E-4</v>
      </c>
      <c r="L17" s="115">
        <f ca="1"/>
        <v>1.5625E-2</v>
      </c>
      <c r="M17" s="124">
        <v>14.9</v>
      </c>
      <c r="N17" s="124">
        <f ca="1">J17*10000</f>
        <v>0.63628682669695047</v>
      </c>
      <c r="O17" s="126">
        <f ca="1">N17/M17-1</f>
        <v>-0.95729618612772149</v>
      </c>
      <c r="P17" s="124">
        <f t="shared" si="3"/>
        <v>14.9</v>
      </c>
      <c r="Q17" s="124">
        <f t="shared" ca="1" si="4"/>
        <v>0.63628682669695047</v>
      </c>
    </row>
    <row r="18" spans="1:17" ht="13.8" thickBot="1" x14ac:dyDescent="0.3">
      <c r="B18" s="57" t="s">
        <v>41</v>
      </c>
      <c r="C18" s="121" t="s">
        <v>42</v>
      </c>
      <c r="N18" s="50"/>
      <c r="O18" s="108">
        <f ca="1">SUMPRODUCT(O12:O16,O12:O16)</f>
        <v>4.6881383774820913</v>
      </c>
    </row>
    <row r="19" spans="1:17" x14ac:dyDescent="0.25">
      <c r="K19" s="54"/>
      <c r="L19" s="54"/>
      <c r="N19" s="50"/>
    </row>
    <row r="20" spans="1:17" x14ac:dyDescent="0.25">
      <c r="A20" s="72"/>
      <c r="C20" s="74"/>
      <c r="E20" s="54"/>
      <c r="K20" s="54"/>
      <c r="L20" s="54"/>
      <c r="N20" s="50"/>
    </row>
    <row r="21" spans="1:17" x14ac:dyDescent="0.25">
      <c r="A21" s="72"/>
      <c r="K21" s="54"/>
      <c r="L21" s="54"/>
      <c r="N21" s="50"/>
    </row>
    <row r="22" spans="1:17" x14ac:dyDescent="0.25">
      <c r="A22" s="72"/>
      <c r="H22" s="108"/>
      <c r="K22" s="54"/>
      <c r="L22" s="54"/>
      <c r="M22" s="96"/>
      <c r="N22" s="50"/>
    </row>
    <row r="23" spans="1:17" x14ac:dyDescent="0.25">
      <c r="A23" s="72"/>
      <c r="K23" s="54"/>
      <c r="L23" s="54"/>
      <c r="M23" s="72"/>
      <c r="N23" s="50"/>
    </row>
    <row r="24" spans="1:17" x14ac:dyDescent="0.25">
      <c r="A24" s="72"/>
      <c r="K24" s="54"/>
      <c r="L24" s="54"/>
      <c r="M24" s="54"/>
      <c r="N24" s="50"/>
    </row>
    <row r="25" spans="1:17" x14ac:dyDescent="0.25">
      <c r="A25" s="72"/>
      <c r="K25" s="54"/>
      <c r="L25" s="54"/>
      <c r="M25" s="108"/>
      <c r="N25" s="50"/>
    </row>
    <row r="26" spans="1:17" x14ac:dyDescent="0.25">
      <c r="A26" s="72"/>
      <c r="K26" s="54"/>
      <c r="L26" s="54"/>
      <c r="N26" s="50"/>
    </row>
    <row r="27" spans="1:17" x14ac:dyDescent="0.25">
      <c r="A27" s="72"/>
      <c r="J27" s="54"/>
      <c r="K27" s="54"/>
      <c r="L27" s="54"/>
      <c r="M27" s="108"/>
      <c r="N27" s="50"/>
    </row>
    <row r="28" spans="1:17" x14ac:dyDescent="0.25">
      <c r="A28" s="72"/>
      <c r="B28" s="74"/>
      <c r="C28" s="72"/>
      <c r="D28" s="19"/>
      <c r="E28" s="19"/>
      <c r="H28" s="112"/>
      <c r="I28" s="108"/>
      <c r="K28" s="54"/>
      <c r="L28" s="54"/>
      <c r="M28" s="108"/>
      <c r="N28" s="50"/>
    </row>
    <row r="29" spans="1:17" x14ac:dyDescent="0.25">
      <c r="A29" s="72"/>
      <c r="B29" s="74"/>
      <c r="C29" s="72"/>
      <c r="D29" s="19"/>
      <c r="E29" s="19"/>
      <c r="H29" s="112"/>
      <c r="I29" s="108"/>
      <c r="K29" s="54"/>
      <c r="L29" s="54"/>
      <c r="M29" s="108"/>
      <c r="N29" s="50"/>
    </row>
    <row r="30" spans="1:17" x14ac:dyDescent="0.25">
      <c r="A30" s="72"/>
      <c r="B30" s="74"/>
      <c r="C30" s="72"/>
      <c r="D30" s="19"/>
      <c r="E30" s="19"/>
      <c r="H30" s="112"/>
      <c r="I30" s="108"/>
      <c r="K30" s="54"/>
      <c r="L30" s="54"/>
      <c r="M30" s="108"/>
      <c r="N30" s="50"/>
    </row>
    <row r="31" spans="1:17" x14ac:dyDescent="0.25">
      <c r="A31" s="72"/>
      <c r="B31" s="74"/>
      <c r="C31" s="72"/>
      <c r="D31" s="19"/>
      <c r="H31" s="112"/>
      <c r="I31" s="108"/>
      <c r="K31" s="54"/>
      <c r="L31" s="54"/>
      <c r="M31" s="108"/>
      <c r="N31" s="50"/>
    </row>
    <row r="32" spans="1:17" x14ac:dyDescent="0.25">
      <c r="A32" s="72"/>
      <c r="B32" s="74"/>
      <c r="C32" s="72"/>
      <c r="D32" s="19"/>
      <c r="H32" s="112"/>
      <c r="I32" s="108"/>
      <c r="K32" s="54"/>
      <c r="L32" s="54"/>
      <c r="M32" s="108"/>
      <c r="N32" s="50"/>
    </row>
    <row r="33" spans="1:14" x14ac:dyDescent="0.25">
      <c r="A33" s="72"/>
      <c r="B33" s="74"/>
      <c r="C33" s="72"/>
      <c r="D33" s="19"/>
      <c r="H33" s="112"/>
      <c r="I33" s="108"/>
      <c r="K33" s="54"/>
      <c r="L33" s="54"/>
      <c r="M33" s="108"/>
      <c r="N33" s="50"/>
    </row>
    <row r="34" spans="1:14" x14ac:dyDescent="0.25">
      <c r="A34" s="72"/>
      <c r="B34" s="74"/>
      <c r="C34" s="72"/>
      <c r="D34" s="19"/>
      <c r="H34" s="112"/>
      <c r="I34" s="108"/>
      <c r="K34" s="54"/>
      <c r="L34" s="54"/>
      <c r="M34" s="108"/>
      <c r="N34" s="50"/>
    </row>
    <row r="35" spans="1:14" x14ac:dyDescent="0.25">
      <c r="A35" s="72"/>
      <c r="B35" s="74"/>
      <c r="C35" s="72"/>
      <c r="D35" s="19"/>
      <c r="H35" s="112"/>
      <c r="I35" s="108"/>
      <c r="K35" s="54"/>
      <c r="L35" s="54"/>
      <c r="M35" s="108"/>
      <c r="N35" s="50"/>
    </row>
    <row r="36" spans="1:14" x14ac:dyDescent="0.25">
      <c r="A36" s="72"/>
      <c r="B36" s="74"/>
      <c r="C36" s="72"/>
      <c r="D36" s="19"/>
      <c r="H36" s="112"/>
      <c r="I36" s="108"/>
      <c r="K36" s="54"/>
      <c r="L36" s="54"/>
      <c r="M36" s="108"/>
      <c r="N36" s="50"/>
    </row>
    <row r="37" spans="1:14" x14ac:dyDescent="0.25">
      <c r="A37" s="72"/>
      <c r="B37" s="74"/>
      <c r="C37" s="72"/>
      <c r="D37" s="19"/>
      <c r="H37" s="112"/>
      <c r="I37" s="108"/>
      <c r="K37" s="54"/>
      <c r="L37" s="54"/>
      <c r="M37" s="108"/>
      <c r="N37" s="50"/>
    </row>
    <row r="38" spans="1:14" x14ac:dyDescent="0.25">
      <c r="C38" s="50"/>
      <c r="D38" s="50"/>
      <c r="E38" s="50"/>
      <c r="F38" s="50"/>
      <c r="G38" s="50"/>
      <c r="K38" s="54"/>
      <c r="L38" s="54"/>
      <c r="M38" s="108"/>
      <c r="N38" s="50"/>
    </row>
    <row r="39" spans="1:14" x14ac:dyDescent="0.25">
      <c r="C39" s="72"/>
      <c r="D39" s="19"/>
      <c r="E39" s="50"/>
      <c r="F39" s="50"/>
      <c r="G39" s="50"/>
      <c r="K39" s="54"/>
      <c r="L39" s="54"/>
      <c r="M39" s="108"/>
      <c r="N39" s="50"/>
    </row>
    <row r="40" spans="1:14" x14ac:dyDescent="0.25">
      <c r="C40" s="72"/>
      <c r="D40" s="19"/>
      <c r="E40" s="50"/>
      <c r="F40" s="50"/>
      <c r="G40" s="50"/>
      <c r="K40" s="54"/>
      <c r="L40" s="54"/>
      <c r="M40" s="108"/>
      <c r="N40" s="50"/>
    </row>
    <row r="41" spans="1:14" x14ac:dyDescent="0.25">
      <c r="C41" s="72"/>
      <c r="D41" s="19"/>
      <c r="K41" s="54"/>
      <c r="L41" s="54"/>
      <c r="M41" s="108"/>
      <c r="N41" s="50"/>
    </row>
    <row r="42" spans="1:14" x14ac:dyDescent="0.25">
      <c r="C42" s="72"/>
      <c r="D42" s="19"/>
      <c r="K42" s="54"/>
      <c r="L42" s="54"/>
      <c r="N42" s="50"/>
    </row>
    <row r="43" spans="1:14" x14ac:dyDescent="0.25">
      <c r="C43" s="72"/>
      <c r="D43" s="19"/>
      <c r="K43" s="54"/>
      <c r="L43" s="54"/>
      <c r="N43" s="50"/>
    </row>
    <row r="44" spans="1:14" x14ac:dyDescent="0.25">
      <c r="C44" s="72"/>
      <c r="D44" s="19"/>
      <c r="K44" s="54"/>
      <c r="L44" s="54"/>
      <c r="N44" s="50"/>
    </row>
    <row r="45" spans="1:14" x14ac:dyDescent="0.25">
      <c r="C45" s="72"/>
      <c r="D45" s="19"/>
      <c r="K45" s="54"/>
      <c r="L45" s="54"/>
      <c r="N45" s="50"/>
    </row>
    <row r="46" spans="1:14" x14ac:dyDescent="0.25">
      <c r="C46" s="72"/>
      <c r="D46" s="19"/>
      <c r="K46" s="54"/>
      <c r="L46" s="54"/>
      <c r="N46" s="50"/>
    </row>
    <row r="47" spans="1:14" x14ac:dyDescent="0.25">
      <c r="C47" s="72"/>
      <c r="D47" s="19"/>
      <c r="K47" s="54"/>
      <c r="L47" s="54"/>
      <c r="N47" s="50"/>
    </row>
    <row r="48" spans="1:14" x14ac:dyDescent="0.25">
      <c r="C48" s="72"/>
      <c r="D48" s="19"/>
      <c r="K48" s="54"/>
      <c r="L48" s="54"/>
      <c r="N48" s="50"/>
    </row>
    <row r="49" spans="3:14" x14ac:dyDescent="0.25">
      <c r="C49" s="72"/>
      <c r="D49" s="19"/>
      <c r="K49" s="54"/>
      <c r="L49" s="54"/>
      <c r="N49" s="50"/>
    </row>
    <row r="50" spans="3:14" x14ac:dyDescent="0.25">
      <c r="C50" s="72"/>
      <c r="D50" s="19"/>
      <c r="K50" s="54"/>
      <c r="L50" s="54"/>
      <c r="N50" s="50"/>
    </row>
    <row r="51" spans="3:14" x14ac:dyDescent="0.25">
      <c r="C51" s="72"/>
      <c r="D51" s="19"/>
      <c r="K51" s="54"/>
      <c r="L51" s="54"/>
      <c r="N51" s="50"/>
    </row>
    <row r="52" spans="3:14" x14ac:dyDescent="0.25">
      <c r="C52" s="72"/>
      <c r="D52" s="19"/>
      <c r="K52" s="54"/>
      <c r="L52" s="54"/>
      <c r="N52" s="50"/>
    </row>
    <row r="53" spans="3:14" x14ac:dyDescent="0.25">
      <c r="C53" s="72"/>
      <c r="D53" s="19"/>
      <c r="K53" s="54"/>
      <c r="L53" s="54"/>
      <c r="N53" s="50"/>
    </row>
    <row r="54" spans="3:14" x14ac:dyDescent="0.25">
      <c r="C54" s="72"/>
      <c r="D54" s="19"/>
      <c r="K54" s="54"/>
      <c r="L54" s="54"/>
      <c r="N54" s="50"/>
    </row>
    <row r="55" spans="3:14" x14ac:dyDescent="0.25">
      <c r="C55" s="72"/>
      <c r="D55" s="19"/>
      <c r="K55" s="54"/>
      <c r="L55" s="54"/>
      <c r="N55" s="50"/>
    </row>
    <row r="56" spans="3:14" x14ac:dyDescent="0.25">
      <c r="C56" s="72"/>
      <c r="D56" s="19"/>
      <c r="K56" s="54"/>
      <c r="L56" s="54"/>
      <c r="N56" s="50"/>
    </row>
    <row r="57" spans="3:14" x14ac:dyDescent="0.25">
      <c r="K57" s="54"/>
      <c r="L57" s="54"/>
      <c r="N57" s="50"/>
    </row>
    <row r="58" spans="3:14" x14ac:dyDescent="0.25">
      <c r="K58" s="54"/>
      <c r="L58" s="54"/>
      <c r="N58" s="50"/>
    </row>
    <row r="59" spans="3:14" x14ac:dyDescent="0.25">
      <c r="K59" s="54"/>
      <c r="L59" s="54"/>
      <c r="N59" s="50"/>
    </row>
    <row r="60" spans="3:14" x14ac:dyDescent="0.25">
      <c r="K60" s="54"/>
      <c r="L60" s="54"/>
      <c r="N60" s="50"/>
    </row>
    <row r="61" spans="3:14" x14ac:dyDescent="0.25">
      <c r="K61" s="54"/>
      <c r="L61" s="54"/>
      <c r="N61" s="50"/>
    </row>
    <row r="62" spans="3:14" x14ac:dyDescent="0.25">
      <c r="K62" s="54"/>
      <c r="L62" s="54"/>
      <c r="N62" s="50"/>
    </row>
    <row r="63" spans="3:14" x14ac:dyDescent="0.25">
      <c r="K63" s="54"/>
      <c r="L63" s="54"/>
      <c r="N63" s="50"/>
    </row>
    <row r="64" spans="3:14" x14ac:dyDescent="0.25">
      <c r="K64" s="54"/>
      <c r="L64" s="54"/>
      <c r="N64" s="50"/>
    </row>
    <row r="65" spans="11:14" x14ac:dyDescent="0.25">
      <c r="K65" s="54"/>
      <c r="L65" s="54"/>
      <c r="N65" s="50"/>
    </row>
    <row r="66" spans="11:14" x14ac:dyDescent="0.25">
      <c r="K66" s="54"/>
      <c r="L66" s="54"/>
      <c r="N66" s="50"/>
    </row>
    <row r="67" spans="11:14" x14ac:dyDescent="0.25">
      <c r="K67" s="54"/>
      <c r="L67" s="54"/>
      <c r="N67" s="50"/>
    </row>
    <row r="68" spans="11:14" x14ac:dyDescent="0.25">
      <c r="K68" s="54"/>
      <c r="L68" s="54"/>
      <c r="N68" s="50"/>
    </row>
    <row r="69" spans="11:14" x14ac:dyDescent="0.25">
      <c r="K69" s="54"/>
      <c r="L69" s="54"/>
      <c r="N69" s="50"/>
    </row>
    <row r="70" spans="11:14" x14ac:dyDescent="0.25">
      <c r="K70" s="54"/>
      <c r="L70" s="54"/>
      <c r="N70" s="50"/>
    </row>
    <row r="71" spans="11:14" x14ac:dyDescent="0.25">
      <c r="K71" s="54"/>
      <c r="L71" s="54"/>
      <c r="N71" s="50"/>
    </row>
    <row r="72" spans="11:14" x14ac:dyDescent="0.25">
      <c r="K72" s="54"/>
      <c r="L72" s="54"/>
      <c r="N72" s="50"/>
    </row>
    <row r="73" spans="11:14" x14ac:dyDescent="0.25">
      <c r="K73" s="54"/>
      <c r="L73" s="54"/>
      <c r="N73" s="50"/>
    </row>
    <row r="74" spans="11:14" x14ac:dyDescent="0.25">
      <c r="K74" s="54"/>
      <c r="L74" s="54"/>
      <c r="N74" s="50"/>
    </row>
    <row r="75" spans="11:14" x14ac:dyDescent="0.25">
      <c r="K75" s="54"/>
      <c r="L75" s="54"/>
      <c r="N75" s="50"/>
    </row>
    <row r="76" spans="11:14" x14ac:dyDescent="0.25">
      <c r="K76" s="54"/>
      <c r="L76" s="54"/>
      <c r="N76" s="50"/>
    </row>
    <row r="77" spans="11:14" x14ac:dyDescent="0.25">
      <c r="K77" s="54"/>
      <c r="L77" s="54"/>
      <c r="N77" s="50"/>
    </row>
    <row r="78" spans="11:14" x14ac:dyDescent="0.25">
      <c r="K78" s="54"/>
      <c r="L78" s="54"/>
      <c r="N78" s="50"/>
    </row>
    <row r="79" spans="11:14" x14ac:dyDescent="0.25">
      <c r="K79" s="54"/>
      <c r="L79" s="54"/>
      <c r="N79" s="50"/>
    </row>
    <row r="80" spans="11:14" x14ac:dyDescent="0.25">
      <c r="K80" s="54"/>
      <c r="L80" s="54"/>
      <c r="N80" s="50"/>
    </row>
    <row r="81" spans="11:14" x14ac:dyDescent="0.25">
      <c r="K81" s="54"/>
      <c r="L81" s="54"/>
      <c r="N81" s="50"/>
    </row>
    <row r="82" spans="11:14" x14ac:dyDescent="0.25">
      <c r="K82" s="54"/>
      <c r="L82" s="54"/>
      <c r="N82" s="50"/>
    </row>
    <row r="83" spans="11:14" x14ac:dyDescent="0.25">
      <c r="K83" s="54"/>
      <c r="L83" s="54"/>
      <c r="N83" s="50"/>
    </row>
    <row r="84" spans="11:14" x14ac:dyDescent="0.25">
      <c r="K84" s="54"/>
      <c r="L84" s="54"/>
      <c r="N84" s="50"/>
    </row>
    <row r="85" spans="11:14" x14ac:dyDescent="0.25">
      <c r="K85" s="54"/>
      <c r="L85" s="54"/>
      <c r="N85" s="50"/>
    </row>
    <row r="86" spans="11:14" x14ac:dyDescent="0.25">
      <c r="K86" s="54"/>
      <c r="L86" s="54"/>
      <c r="N86" s="50"/>
    </row>
    <row r="87" spans="11:14" x14ac:dyDescent="0.25">
      <c r="K87" s="54"/>
      <c r="L87" s="54"/>
      <c r="N87" s="50"/>
    </row>
    <row r="88" spans="11:14" x14ac:dyDescent="0.25">
      <c r="K88" s="54"/>
      <c r="L88" s="54"/>
      <c r="N88" s="50"/>
    </row>
    <row r="89" spans="11:14" x14ac:dyDescent="0.25">
      <c r="K89" s="54"/>
      <c r="L89" s="54"/>
      <c r="N89" s="50"/>
    </row>
    <row r="90" spans="11:14" x14ac:dyDescent="0.25">
      <c r="K90" s="54"/>
      <c r="L90" s="54"/>
      <c r="N90" s="50"/>
    </row>
    <row r="91" spans="11:14" x14ac:dyDescent="0.25">
      <c r="K91" s="54"/>
      <c r="L91" s="54"/>
      <c r="N91" s="50"/>
    </row>
    <row r="92" spans="11:14" x14ac:dyDescent="0.25">
      <c r="K92" s="54"/>
      <c r="L92" s="54"/>
      <c r="N92" s="50"/>
    </row>
    <row r="93" spans="11:14" x14ac:dyDescent="0.25">
      <c r="K93" s="54"/>
      <c r="L93" s="54"/>
      <c r="N93" s="50"/>
    </row>
    <row r="94" spans="11:14" x14ac:dyDescent="0.25">
      <c r="K94" s="54"/>
      <c r="L94" s="54"/>
      <c r="N94" s="50"/>
    </row>
    <row r="95" spans="11:14" x14ac:dyDescent="0.25">
      <c r="K95" s="54"/>
      <c r="L95" s="54"/>
      <c r="N95" s="50"/>
    </row>
    <row r="96" spans="11:14" x14ac:dyDescent="0.25">
      <c r="K96" s="54"/>
      <c r="L96" s="54"/>
      <c r="N96" s="50"/>
    </row>
    <row r="97" spans="11:14" x14ac:dyDescent="0.25">
      <c r="K97" s="54"/>
      <c r="L97" s="54"/>
      <c r="N97" s="50"/>
    </row>
    <row r="98" spans="11:14" x14ac:dyDescent="0.25">
      <c r="K98" s="54"/>
      <c r="L98" s="54"/>
      <c r="N98" s="50"/>
    </row>
    <row r="99" spans="11:14" x14ac:dyDescent="0.25">
      <c r="K99" s="54"/>
      <c r="L99" s="54"/>
      <c r="N99" s="50"/>
    </row>
    <row r="100" spans="11:14" x14ac:dyDescent="0.25">
      <c r="K100" s="54"/>
      <c r="L100" s="54"/>
      <c r="N100" s="50"/>
    </row>
    <row r="101" spans="11:14" x14ac:dyDescent="0.25">
      <c r="K101" s="54"/>
      <c r="L101" s="54"/>
      <c r="N101" s="50"/>
    </row>
    <row r="102" spans="11:14" x14ac:dyDescent="0.25">
      <c r="K102" s="54"/>
      <c r="L102" s="54"/>
      <c r="N102" s="50"/>
    </row>
    <row r="991" spans="5:5" x14ac:dyDescent="0.25">
      <c r="E991" s="44" t="s">
        <v>57</v>
      </c>
    </row>
  </sheetData>
  <mergeCells count="1">
    <mergeCell ref="P10:Q10"/>
  </mergeCells>
  <dataValidations count="2">
    <dataValidation type="list" allowBlank="1" showInputMessage="1" showErrorMessage="1" sqref="C18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xr:uid="{85BF7FE6-8E7C-48E1-9BFA-9E3BFB5D977D}">
      <formula1>"Linear, Spline"</formula1>
    </dataValidation>
    <dataValidation type="list" allowBlank="1" showInputMessage="1" showErrorMessage="1" sqref="WVM983042 JA11 SW11 ACS11 AMO11 AWK11 BGG11 BQC11 BZY11 CJU11 CTQ11 DDM11 DNI11 DXE11 EHA11 EQW11 FAS11 FKO11 FUK11 GEG11 GOC11 GXY11 HHU11 HRQ11 IBM11 ILI11 IVE11 JFA11 JOW11 JYS11 KIO11 KSK11 LCG11 LMC11 LVY11 MFU11 MPQ11 MZM11 NJI11 NTE11 ODA11 OMW11 OWS11 PGO11 PQK11 QAG11 QKC11 QTY11 RDU11 RNQ11 RXM11 SHI11 SRE11 TBA11 TKW11 TUS11 UEO11 UOK11 UYG11 VIC11 VRY11 WBU11 WLQ11 WVM11 E65538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E131074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E196610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E262146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E327682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E393218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E458754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E524290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E589826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E655362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E720898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E786434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E851970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E917506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E983042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RDU983042 RNQ983042 RXM983042 SHI983042 SRE983042 TBA983042 TKW983042 TUS983042 UEO983042 UOK983042 UYG983042 VIC983042 VRY983042 WBU983042 WLQ983042" xr:uid="{F8FC1E46-8421-4900-809D-98394201CC4E}">
      <formula1>#REF!</formula1>
    </dataValidation>
  </dataValidations>
  <pageMargins left="0.75" right="0.75" top="1" bottom="1" header="0.5" footer="0.5"/>
  <pageSetup paperSize="9" orientation="portrait" horizontalDpi="4294967293"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365A6-A855-4232-8C4D-6BD5A1E1535C}">
  <sheetPr codeName="Sheet15"/>
  <dimension ref="A1:O1000"/>
  <sheetViews>
    <sheetView showGridLines="0" zoomScale="110" zoomScaleNormal="110" workbookViewId="0">
      <pane ySplit="7" topLeftCell="A8" activePane="bottomLeft" state="frozen"/>
      <selection pane="bottomLeft" activeCell="E15" sqref="E15"/>
    </sheetView>
  </sheetViews>
  <sheetFormatPr defaultColWidth="9.109375" defaultRowHeight="13.2" x14ac:dyDescent="0.25"/>
  <cols>
    <col min="1" max="1" width="5.5546875" style="44" customWidth="1"/>
    <col min="2" max="2" width="15.5546875" style="44" bestFit="1" customWidth="1"/>
    <col min="3" max="3" width="9.44140625" style="44" customWidth="1"/>
    <col min="4" max="4" width="12" style="44" customWidth="1"/>
    <col min="5" max="5" width="10.6640625" style="44" customWidth="1"/>
    <col min="6" max="6" width="10.5546875" style="44" customWidth="1"/>
    <col min="7" max="7" width="10.33203125" style="44" bestFit="1" customWidth="1"/>
    <col min="8" max="8" width="11" style="44" bestFit="1" customWidth="1"/>
    <col min="9" max="9" width="12.88671875" style="44" bestFit="1" customWidth="1"/>
    <col min="10" max="10" width="14.6640625" style="44" customWidth="1"/>
    <col min="11" max="11" width="14.44140625" style="44" customWidth="1"/>
    <col min="12" max="12" width="12.33203125" style="44" bestFit="1" customWidth="1"/>
    <col min="13" max="13" width="9.6640625" style="44" bestFit="1" customWidth="1"/>
    <col min="14" max="14" width="8.109375" style="44" bestFit="1" customWidth="1"/>
    <col min="15" max="15" width="9.109375" style="44"/>
    <col min="16" max="16" width="12" style="44" customWidth="1"/>
    <col min="17" max="256" width="9.109375" style="44"/>
    <col min="257" max="257" width="5.5546875" style="44" customWidth="1"/>
    <col min="258" max="258" width="15.5546875" style="44" bestFit="1" customWidth="1"/>
    <col min="259" max="259" width="9.44140625" style="44" customWidth="1"/>
    <col min="260" max="260" width="12" style="44" customWidth="1"/>
    <col min="261" max="261" width="10.6640625" style="44" customWidth="1"/>
    <col min="262" max="262" width="10.5546875" style="44" customWidth="1"/>
    <col min="263" max="263" width="10.33203125" style="44" bestFit="1" customWidth="1"/>
    <col min="264" max="264" width="11" style="44" bestFit="1" customWidth="1"/>
    <col min="265" max="265" width="12.88671875" style="44" bestFit="1" customWidth="1"/>
    <col min="266" max="266" width="14.6640625" style="44" customWidth="1"/>
    <col min="267" max="267" width="14.44140625" style="44" customWidth="1"/>
    <col min="268" max="268" width="12.33203125" style="44" bestFit="1" customWidth="1"/>
    <col min="269" max="269" width="9.6640625" style="44" bestFit="1" customWidth="1"/>
    <col min="270" max="270" width="6.33203125" style="44" bestFit="1" customWidth="1"/>
    <col min="271" max="271" width="9.109375" style="44"/>
    <col min="272" max="272" width="12" style="44" customWidth="1"/>
    <col min="273" max="512" width="9.109375" style="44"/>
    <col min="513" max="513" width="5.5546875" style="44" customWidth="1"/>
    <col min="514" max="514" width="15.5546875" style="44" bestFit="1" customWidth="1"/>
    <col min="515" max="515" width="9.44140625" style="44" customWidth="1"/>
    <col min="516" max="516" width="12" style="44" customWidth="1"/>
    <col min="517" max="517" width="10.6640625" style="44" customWidth="1"/>
    <col min="518" max="518" width="10.5546875" style="44" customWidth="1"/>
    <col min="519" max="519" width="10.33203125" style="44" bestFit="1" customWidth="1"/>
    <col min="520" max="520" width="11" style="44" bestFit="1" customWidth="1"/>
    <col min="521" max="521" width="12.88671875" style="44" bestFit="1" customWidth="1"/>
    <col min="522" max="522" width="14.6640625" style="44" customWidth="1"/>
    <col min="523" max="523" width="14.44140625" style="44" customWidth="1"/>
    <col min="524" max="524" width="12.33203125" style="44" bestFit="1" customWidth="1"/>
    <col min="525" max="525" width="9.6640625" style="44" bestFit="1" customWidth="1"/>
    <col min="526" max="526" width="6.33203125" style="44" bestFit="1" customWidth="1"/>
    <col min="527" max="527" width="9.109375" style="44"/>
    <col min="528" max="528" width="12" style="44" customWidth="1"/>
    <col min="529" max="768" width="9.109375" style="44"/>
    <col min="769" max="769" width="5.5546875" style="44" customWidth="1"/>
    <col min="770" max="770" width="15.5546875" style="44" bestFit="1" customWidth="1"/>
    <col min="771" max="771" width="9.44140625" style="44" customWidth="1"/>
    <col min="772" max="772" width="12" style="44" customWidth="1"/>
    <col min="773" max="773" width="10.6640625" style="44" customWidth="1"/>
    <col min="774" max="774" width="10.5546875" style="44" customWidth="1"/>
    <col min="775" max="775" width="10.33203125" style="44" bestFit="1" customWidth="1"/>
    <col min="776" max="776" width="11" style="44" bestFit="1" customWidth="1"/>
    <col min="777" max="777" width="12.88671875" style="44" bestFit="1" customWidth="1"/>
    <col min="778" max="778" width="14.6640625" style="44" customWidth="1"/>
    <col min="779" max="779" width="14.44140625" style="44" customWidth="1"/>
    <col min="780" max="780" width="12.33203125" style="44" bestFit="1" customWidth="1"/>
    <col min="781" max="781" width="9.6640625" style="44" bestFit="1" customWidth="1"/>
    <col min="782" max="782" width="6.33203125" style="44" bestFit="1" customWidth="1"/>
    <col min="783" max="783" width="9.109375" style="44"/>
    <col min="784" max="784" width="12" style="44" customWidth="1"/>
    <col min="785" max="1024" width="9.109375" style="44"/>
    <col min="1025" max="1025" width="5.5546875" style="44" customWidth="1"/>
    <col min="1026" max="1026" width="15.5546875" style="44" bestFit="1" customWidth="1"/>
    <col min="1027" max="1027" width="9.44140625" style="44" customWidth="1"/>
    <col min="1028" max="1028" width="12" style="44" customWidth="1"/>
    <col min="1029" max="1029" width="10.6640625" style="44" customWidth="1"/>
    <col min="1030" max="1030" width="10.5546875" style="44" customWidth="1"/>
    <col min="1031" max="1031" width="10.33203125" style="44" bestFit="1" customWidth="1"/>
    <col min="1032" max="1032" width="11" style="44" bestFit="1" customWidth="1"/>
    <col min="1033" max="1033" width="12.88671875" style="44" bestFit="1" customWidth="1"/>
    <col min="1034" max="1034" width="14.6640625" style="44" customWidth="1"/>
    <col min="1035" max="1035" width="14.44140625" style="44" customWidth="1"/>
    <col min="1036" max="1036" width="12.33203125" style="44" bestFit="1" customWidth="1"/>
    <col min="1037" max="1037" width="9.6640625" style="44" bestFit="1" customWidth="1"/>
    <col min="1038" max="1038" width="6.33203125" style="44" bestFit="1" customWidth="1"/>
    <col min="1039" max="1039" width="9.109375" style="44"/>
    <col min="1040" max="1040" width="12" style="44" customWidth="1"/>
    <col min="1041" max="1280" width="9.109375" style="44"/>
    <col min="1281" max="1281" width="5.5546875" style="44" customWidth="1"/>
    <col min="1282" max="1282" width="15.5546875" style="44" bestFit="1" customWidth="1"/>
    <col min="1283" max="1283" width="9.44140625" style="44" customWidth="1"/>
    <col min="1284" max="1284" width="12" style="44" customWidth="1"/>
    <col min="1285" max="1285" width="10.6640625" style="44" customWidth="1"/>
    <col min="1286" max="1286" width="10.5546875" style="44" customWidth="1"/>
    <col min="1287" max="1287" width="10.33203125" style="44" bestFit="1" customWidth="1"/>
    <col min="1288" max="1288" width="11" style="44" bestFit="1" customWidth="1"/>
    <col min="1289" max="1289" width="12.88671875" style="44" bestFit="1" customWidth="1"/>
    <col min="1290" max="1290" width="14.6640625" style="44" customWidth="1"/>
    <col min="1291" max="1291" width="14.44140625" style="44" customWidth="1"/>
    <col min="1292" max="1292" width="12.33203125" style="44" bestFit="1" customWidth="1"/>
    <col min="1293" max="1293" width="9.6640625" style="44" bestFit="1" customWidth="1"/>
    <col min="1294" max="1294" width="6.33203125" style="44" bestFit="1" customWidth="1"/>
    <col min="1295" max="1295" width="9.109375" style="44"/>
    <col min="1296" max="1296" width="12" style="44" customWidth="1"/>
    <col min="1297" max="1536" width="9.109375" style="44"/>
    <col min="1537" max="1537" width="5.5546875" style="44" customWidth="1"/>
    <col min="1538" max="1538" width="15.5546875" style="44" bestFit="1" customWidth="1"/>
    <col min="1539" max="1539" width="9.44140625" style="44" customWidth="1"/>
    <col min="1540" max="1540" width="12" style="44" customWidth="1"/>
    <col min="1541" max="1541" width="10.6640625" style="44" customWidth="1"/>
    <col min="1542" max="1542" width="10.5546875" style="44" customWidth="1"/>
    <col min="1543" max="1543" width="10.33203125" style="44" bestFit="1" customWidth="1"/>
    <col min="1544" max="1544" width="11" style="44" bestFit="1" customWidth="1"/>
    <col min="1545" max="1545" width="12.88671875" style="44" bestFit="1" customWidth="1"/>
    <col min="1546" max="1546" width="14.6640625" style="44" customWidth="1"/>
    <col min="1547" max="1547" width="14.44140625" style="44" customWidth="1"/>
    <col min="1548" max="1548" width="12.33203125" style="44" bestFit="1" customWidth="1"/>
    <col min="1549" max="1549" width="9.6640625" style="44" bestFit="1" customWidth="1"/>
    <col min="1550" max="1550" width="6.33203125" style="44" bestFit="1" customWidth="1"/>
    <col min="1551" max="1551" width="9.109375" style="44"/>
    <col min="1552" max="1552" width="12" style="44" customWidth="1"/>
    <col min="1553" max="1792" width="9.109375" style="44"/>
    <col min="1793" max="1793" width="5.5546875" style="44" customWidth="1"/>
    <col min="1794" max="1794" width="15.5546875" style="44" bestFit="1" customWidth="1"/>
    <col min="1795" max="1795" width="9.44140625" style="44" customWidth="1"/>
    <col min="1796" max="1796" width="12" style="44" customWidth="1"/>
    <col min="1797" max="1797" width="10.6640625" style="44" customWidth="1"/>
    <col min="1798" max="1798" width="10.5546875" style="44" customWidth="1"/>
    <col min="1799" max="1799" width="10.33203125" style="44" bestFit="1" customWidth="1"/>
    <col min="1800" max="1800" width="11" style="44" bestFit="1" customWidth="1"/>
    <col min="1801" max="1801" width="12.88671875" style="44" bestFit="1" customWidth="1"/>
    <col min="1802" max="1802" width="14.6640625" style="44" customWidth="1"/>
    <col min="1803" max="1803" width="14.44140625" style="44" customWidth="1"/>
    <col min="1804" max="1804" width="12.33203125" style="44" bestFit="1" customWidth="1"/>
    <col min="1805" max="1805" width="9.6640625" style="44" bestFit="1" customWidth="1"/>
    <col min="1806" max="1806" width="6.33203125" style="44" bestFit="1" customWidth="1"/>
    <col min="1807" max="1807" width="9.109375" style="44"/>
    <col min="1808" max="1808" width="12" style="44" customWidth="1"/>
    <col min="1809" max="2048" width="9.109375" style="44"/>
    <col min="2049" max="2049" width="5.5546875" style="44" customWidth="1"/>
    <col min="2050" max="2050" width="15.5546875" style="44" bestFit="1" customWidth="1"/>
    <col min="2051" max="2051" width="9.44140625" style="44" customWidth="1"/>
    <col min="2052" max="2052" width="12" style="44" customWidth="1"/>
    <col min="2053" max="2053" width="10.6640625" style="44" customWidth="1"/>
    <col min="2054" max="2054" width="10.5546875" style="44" customWidth="1"/>
    <col min="2055" max="2055" width="10.33203125" style="44" bestFit="1" customWidth="1"/>
    <col min="2056" max="2056" width="11" style="44" bestFit="1" customWidth="1"/>
    <col min="2057" max="2057" width="12.88671875" style="44" bestFit="1" customWidth="1"/>
    <col min="2058" max="2058" width="14.6640625" style="44" customWidth="1"/>
    <col min="2059" max="2059" width="14.44140625" style="44" customWidth="1"/>
    <col min="2060" max="2060" width="12.33203125" style="44" bestFit="1" customWidth="1"/>
    <col min="2061" max="2061" width="9.6640625" style="44" bestFit="1" customWidth="1"/>
    <col min="2062" max="2062" width="6.33203125" style="44" bestFit="1" customWidth="1"/>
    <col min="2063" max="2063" width="9.109375" style="44"/>
    <col min="2064" max="2064" width="12" style="44" customWidth="1"/>
    <col min="2065" max="2304" width="9.109375" style="44"/>
    <col min="2305" max="2305" width="5.5546875" style="44" customWidth="1"/>
    <col min="2306" max="2306" width="15.5546875" style="44" bestFit="1" customWidth="1"/>
    <col min="2307" max="2307" width="9.44140625" style="44" customWidth="1"/>
    <col min="2308" max="2308" width="12" style="44" customWidth="1"/>
    <col min="2309" max="2309" width="10.6640625" style="44" customWidth="1"/>
    <col min="2310" max="2310" width="10.5546875" style="44" customWidth="1"/>
    <col min="2311" max="2311" width="10.33203125" style="44" bestFit="1" customWidth="1"/>
    <col min="2312" max="2312" width="11" style="44" bestFit="1" customWidth="1"/>
    <col min="2313" max="2313" width="12.88671875" style="44" bestFit="1" customWidth="1"/>
    <col min="2314" max="2314" width="14.6640625" style="44" customWidth="1"/>
    <col min="2315" max="2315" width="14.44140625" style="44" customWidth="1"/>
    <col min="2316" max="2316" width="12.33203125" style="44" bestFit="1" customWidth="1"/>
    <col min="2317" max="2317" width="9.6640625" style="44" bestFit="1" customWidth="1"/>
    <col min="2318" max="2318" width="6.33203125" style="44" bestFit="1" customWidth="1"/>
    <col min="2319" max="2319" width="9.109375" style="44"/>
    <col min="2320" max="2320" width="12" style="44" customWidth="1"/>
    <col min="2321" max="2560" width="9.109375" style="44"/>
    <col min="2561" max="2561" width="5.5546875" style="44" customWidth="1"/>
    <col min="2562" max="2562" width="15.5546875" style="44" bestFit="1" customWidth="1"/>
    <col min="2563" max="2563" width="9.44140625" style="44" customWidth="1"/>
    <col min="2564" max="2564" width="12" style="44" customWidth="1"/>
    <col min="2565" max="2565" width="10.6640625" style="44" customWidth="1"/>
    <col min="2566" max="2566" width="10.5546875" style="44" customWidth="1"/>
    <col min="2567" max="2567" width="10.33203125" style="44" bestFit="1" customWidth="1"/>
    <col min="2568" max="2568" width="11" style="44" bestFit="1" customWidth="1"/>
    <col min="2569" max="2569" width="12.88671875" style="44" bestFit="1" customWidth="1"/>
    <col min="2570" max="2570" width="14.6640625" style="44" customWidth="1"/>
    <col min="2571" max="2571" width="14.44140625" style="44" customWidth="1"/>
    <col min="2572" max="2572" width="12.33203125" style="44" bestFit="1" customWidth="1"/>
    <col min="2573" max="2573" width="9.6640625" style="44" bestFit="1" customWidth="1"/>
    <col min="2574" max="2574" width="6.33203125" style="44" bestFit="1" customWidth="1"/>
    <col min="2575" max="2575" width="9.109375" style="44"/>
    <col min="2576" max="2576" width="12" style="44" customWidth="1"/>
    <col min="2577" max="2816" width="9.109375" style="44"/>
    <col min="2817" max="2817" width="5.5546875" style="44" customWidth="1"/>
    <col min="2818" max="2818" width="15.5546875" style="44" bestFit="1" customWidth="1"/>
    <col min="2819" max="2819" width="9.44140625" style="44" customWidth="1"/>
    <col min="2820" max="2820" width="12" style="44" customWidth="1"/>
    <col min="2821" max="2821" width="10.6640625" style="44" customWidth="1"/>
    <col min="2822" max="2822" width="10.5546875" style="44" customWidth="1"/>
    <col min="2823" max="2823" width="10.33203125" style="44" bestFit="1" customWidth="1"/>
    <col min="2824" max="2824" width="11" style="44" bestFit="1" customWidth="1"/>
    <col min="2825" max="2825" width="12.88671875" style="44" bestFit="1" customWidth="1"/>
    <col min="2826" max="2826" width="14.6640625" style="44" customWidth="1"/>
    <col min="2827" max="2827" width="14.44140625" style="44" customWidth="1"/>
    <col min="2828" max="2828" width="12.33203125" style="44" bestFit="1" customWidth="1"/>
    <col min="2829" max="2829" width="9.6640625" style="44" bestFit="1" customWidth="1"/>
    <col min="2830" max="2830" width="6.33203125" style="44" bestFit="1" customWidth="1"/>
    <col min="2831" max="2831" width="9.109375" style="44"/>
    <col min="2832" max="2832" width="12" style="44" customWidth="1"/>
    <col min="2833" max="3072" width="9.109375" style="44"/>
    <col min="3073" max="3073" width="5.5546875" style="44" customWidth="1"/>
    <col min="3074" max="3074" width="15.5546875" style="44" bestFit="1" customWidth="1"/>
    <col min="3075" max="3075" width="9.44140625" style="44" customWidth="1"/>
    <col min="3076" max="3076" width="12" style="44" customWidth="1"/>
    <col min="3077" max="3077" width="10.6640625" style="44" customWidth="1"/>
    <col min="3078" max="3078" width="10.5546875" style="44" customWidth="1"/>
    <col min="3079" max="3079" width="10.33203125" style="44" bestFit="1" customWidth="1"/>
    <col min="3080" max="3080" width="11" style="44" bestFit="1" customWidth="1"/>
    <col min="3081" max="3081" width="12.88671875" style="44" bestFit="1" customWidth="1"/>
    <col min="3082" max="3082" width="14.6640625" style="44" customWidth="1"/>
    <col min="3083" max="3083" width="14.44140625" style="44" customWidth="1"/>
    <col min="3084" max="3084" width="12.33203125" style="44" bestFit="1" customWidth="1"/>
    <col min="3085" max="3085" width="9.6640625" style="44" bestFit="1" customWidth="1"/>
    <col min="3086" max="3086" width="6.33203125" style="44" bestFit="1" customWidth="1"/>
    <col min="3087" max="3087" width="9.109375" style="44"/>
    <col min="3088" max="3088" width="12" style="44" customWidth="1"/>
    <col min="3089" max="3328" width="9.109375" style="44"/>
    <col min="3329" max="3329" width="5.5546875" style="44" customWidth="1"/>
    <col min="3330" max="3330" width="15.5546875" style="44" bestFit="1" customWidth="1"/>
    <col min="3331" max="3331" width="9.44140625" style="44" customWidth="1"/>
    <col min="3332" max="3332" width="12" style="44" customWidth="1"/>
    <col min="3333" max="3333" width="10.6640625" style="44" customWidth="1"/>
    <col min="3334" max="3334" width="10.5546875" style="44" customWidth="1"/>
    <col min="3335" max="3335" width="10.33203125" style="44" bestFit="1" customWidth="1"/>
    <col min="3336" max="3336" width="11" style="44" bestFit="1" customWidth="1"/>
    <col min="3337" max="3337" width="12.88671875" style="44" bestFit="1" customWidth="1"/>
    <col min="3338" max="3338" width="14.6640625" style="44" customWidth="1"/>
    <col min="3339" max="3339" width="14.44140625" style="44" customWidth="1"/>
    <col min="3340" max="3340" width="12.33203125" style="44" bestFit="1" customWidth="1"/>
    <col min="3341" max="3341" width="9.6640625" style="44" bestFit="1" customWidth="1"/>
    <col min="3342" max="3342" width="6.33203125" style="44" bestFit="1" customWidth="1"/>
    <col min="3343" max="3343" width="9.109375" style="44"/>
    <col min="3344" max="3344" width="12" style="44" customWidth="1"/>
    <col min="3345" max="3584" width="9.109375" style="44"/>
    <col min="3585" max="3585" width="5.5546875" style="44" customWidth="1"/>
    <col min="3586" max="3586" width="15.5546875" style="44" bestFit="1" customWidth="1"/>
    <col min="3587" max="3587" width="9.44140625" style="44" customWidth="1"/>
    <col min="3588" max="3588" width="12" style="44" customWidth="1"/>
    <col min="3589" max="3589" width="10.6640625" style="44" customWidth="1"/>
    <col min="3590" max="3590" width="10.5546875" style="44" customWidth="1"/>
    <col min="3591" max="3591" width="10.33203125" style="44" bestFit="1" customWidth="1"/>
    <col min="3592" max="3592" width="11" style="44" bestFit="1" customWidth="1"/>
    <col min="3593" max="3593" width="12.88671875" style="44" bestFit="1" customWidth="1"/>
    <col min="3594" max="3594" width="14.6640625" style="44" customWidth="1"/>
    <col min="3595" max="3595" width="14.44140625" style="44" customWidth="1"/>
    <col min="3596" max="3596" width="12.33203125" style="44" bestFit="1" customWidth="1"/>
    <col min="3597" max="3597" width="9.6640625" style="44" bestFit="1" customWidth="1"/>
    <col min="3598" max="3598" width="6.33203125" style="44" bestFit="1" customWidth="1"/>
    <col min="3599" max="3599" width="9.109375" style="44"/>
    <col min="3600" max="3600" width="12" style="44" customWidth="1"/>
    <col min="3601" max="3840" width="9.109375" style="44"/>
    <col min="3841" max="3841" width="5.5546875" style="44" customWidth="1"/>
    <col min="3842" max="3842" width="15.5546875" style="44" bestFit="1" customWidth="1"/>
    <col min="3843" max="3843" width="9.44140625" style="44" customWidth="1"/>
    <col min="3844" max="3844" width="12" style="44" customWidth="1"/>
    <col min="3845" max="3845" width="10.6640625" style="44" customWidth="1"/>
    <col min="3846" max="3846" width="10.5546875" style="44" customWidth="1"/>
    <col min="3847" max="3847" width="10.33203125" style="44" bestFit="1" customWidth="1"/>
    <col min="3848" max="3848" width="11" style="44" bestFit="1" customWidth="1"/>
    <col min="3849" max="3849" width="12.88671875" style="44" bestFit="1" customWidth="1"/>
    <col min="3850" max="3850" width="14.6640625" style="44" customWidth="1"/>
    <col min="3851" max="3851" width="14.44140625" style="44" customWidth="1"/>
    <col min="3852" max="3852" width="12.33203125" style="44" bestFit="1" customWidth="1"/>
    <col min="3853" max="3853" width="9.6640625" style="44" bestFit="1" customWidth="1"/>
    <col min="3854" max="3854" width="6.33203125" style="44" bestFit="1" customWidth="1"/>
    <col min="3855" max="3855" width="9.109375" style="44"/>
    <col min="3856" max="3856" width="12" style="44" customWidth="1"/>
    <col min="3857" max="4096" width="9.109375" style="44"/>
    <col min="4097" max="4097" width="5.5546875" style="44" customWidth="1"/>
    <col min="4098" max="4098" width="15.5546875" style="44" bestFit="1" customWidth="1"/>
    <col min="4099" max="4099" width="9.44140625" style="44" customWidth="1"/>
    <col min="4100" max="4100" width="12" style="44" customWidth="1"/>
    <col min="4101" max="4101" width="10.6640625" style="44" customWidth="1"/>
    <col min="4102" max="4102" width="10.5546875" style="44" customWidth="1"/>
    <col min="4103" max="4103" width="10.33203125" style="44" bestFit="1" customWidth="1"/>
    <col min="4104" max="4104" width="11" style="44" bestFit="1" customWidth="1"/>
    <col min="4105" max="4105" width="12.88671875" style="44" bestFit="1" customWidth="1"/>
    <col min="4106" max="4106" width="14.6640625" style="44" customWidth="1"/>
    <col min="4107" max="4107" width="14.44140625" style="44" customWidth="1"/>
    <col min="4108" max="4108" width="12.33203125" style="44" bestFit="1" customWidth="1"/>
    <col min="4109" max="4109" width="9.6640625" style="44" bestFit="1" customWidth="1"/>
    <col min="4110" max="4110" width="6.33203125" style="44" bestFit="1" customWidth="1"/>
    <col min="4111" max="4111" width="9.109375" style="44"/>
    <col min="4112" max="4112" width="12" style="44" customWidth="1"/>
    <col min="4113" max="4352" width="9.109375" style="44"/>
    <col min="4353" max="4353" width="5.5546875" style="44" customWidth="1"/>
    <col min="4354" max="4354" width="15.5546875" style="44" bestFit="1" customWidth="1"/>
    <col min="4355" max="4355" width="9.44140625" style="44" customWidth="1"/>
    <col min="4356" max="4356" width="12" style="44" customWidth="1"/>
    <col min="4357" max="4357" width="10.6640625" style="44" customWidth="1"/>
    <col min="4358" max="4358" width="10.5546875" style="44" customWidth="1"/>
    <col min="4359" max="4359" width="10.33203125" style="44" bestFit="1" customWidth="1"/>
    <col min="4360" max="4360" width="11" style="44" bestFit="1" customWidth="1"/>
    <col min="4361" max="4361" width="12.88671875" style="44" bestFit="1" customWidth="1"/>
    <col min="4362" max="4362" width="14.6640625" style="44" customWidth="1"/>
    <col min="4363" max="4363" width="14.44140625" style="44" customWidth="1"/>
    <col min="4364" max="4364" width="12.33203125" style="44" bestFit="1" customWidth="1"/>
    <col min="4365" max="4365" width="9.6640625" style="44" bestFit="1" customWidth="1"/>
    <col min="4366" max="4366" width="6.33203125" style="44" bestFit="1" customWidth="1"/>
    <col min="4367" max="4367" width="9.109375" style="44"/>
    <col min="4368" max="4368" width="12" style="44" customWidth="1"/>
    <col min="4369" max="4608" width="9.109375" style="44"/>
    <col min="4609" max="4609" width="5.5546875" style="44" customWidth="1"/>
    <col min="4610" max="4610" width="15.5546875" style="44" bestFit="1" customWidth="1"/>
    <col min="4611" max="4611" width="9.44140625" style="44" customWidth="1"/>
    <col min="4612" max="4612" width="12" style="44" customWidth="1"/>
    <col min="4613" max="4613" width="10.6640625" style="44" customWidth="1"/>
    <col min="4614" max="4614" width="10.5546875" style="44" customWidth="1"/>
    <col min="4615" max="4615" width="10.33203125" style="44" bestFit="1" customWidth="1"/>
    <col min="4616" max="4616" width="11" style="44" bestFit="1" customWidth="1"/>
    <col min="4617" max="4617" width="12.88671875" style="44" bestFit="1" customWidth="1"/>
    <col min="4618" max="4618" width="14.6640625" style="44" customWidth="1"/>
    <col min="4619" max="4619" width="14.44140625" style="44" customWidth="1"/>
    <col min="4620" max="4620" width="12.33203125" style="44" bestFit="1" customWidth="1"/>
    <col min="4621" max="4621" width="9.6640625" style="44" bestFit="1" customWidth="1"/>
    <col min="4622" max="4622" width="6.33203125" style="44" bestFit="1" customWidth="1"/>
    <col min="4623" max="4623" width="9.109375" style="44"/>
    <col min="4624" max="4624" width="12" style="44" customWidth="1"/>
    <col min="4625" max="4864" width="9.109375" style="44"/>
    <col min="4865" max="4865" width="5.5546875" style="44" customWidth="1"/>
    <col min="4866" max="4866" width="15.5546875" style="44" bestFit="1" customWidth="1"/>
    <col min="4867" max="4867" width="9.44140625" style="44" customWidth="1"/>
    <col min="4868" max="4868" width="12" style="44" customWidth="1"/>
    <col min="4869" max="4869" width="10.6640625" style="44" customWidth="1"/>
    <col min="4870" max="4870" width="10.5546875" style="44" customWidth="1"/>
    <col min="4871" max="4871" width="10.33203125" style="44" bestFit="1" customWidth="1"/>
    <col min="4872" max="4872" width="11" style="44" bestFit="1" customWidth="1"/>
    <col min="4873" max="4873" width="12.88671875" style="44" bestFit="1" customWidth="1"/>
    <col min="4874" max="4874" width="14.6640625" style="44" customWidth="1"/>
    <col min="4875" max="4875" width="14.44140625" style="44" customWidth="1"/>
    <col min="4876" max="4876" width="12.33203125" style="44" bestFit="1" customWidth="1"/>
    <col min="4877" max="4877" width="9.6640625" style="44" bestFit="1" customWidth="1"/>
    <col min="4878" max="4878" width="6.33203125" style="44" bestFit="1" customWidth="1"/>
    <col min="4879" max="4879" width="9.109375" style="44"/>
    <col min="4880" max="4880" width="12" style="44" customWidth="1"/>
    <col min="4881" max="5120" width="9.109375" style="44"/>
    <col min="5121" max="5121" width="5.5546875" style="44" customWidth="1"/>
    <col min="5122" max="5122" width="15.5546875" style="44" bestFit="1" customWidth="1"/>
    <col min="5123" max="5123" width="9.44140625" style="44" customWidth="1"/>
    <col min="5124" max="5124" width="12" style="44" customWidth="1"/>
    <col min="5125" max="5125" width="10.6640625" style="44" customWidth="1"/>
    <col min="5126" max="5126" width="10.5546875" style="44" customWidth="1"/>
    <col min="5127" max="5127" width="10.33203125" style="44" bestFit="1" customWidth="1"/>
    <col min="5128" max="5128" width="11" style="44" bestFit="1" customWidth="1"/>
    <col min="5129" max="5129" width="12.88671875" style="44" bestFit="1" customWidth="1"/>
    <col min="5130" max="5130" width="14.6640625" style="44" customWidth="1"/>
    <col min="5131" max="5131" width="14.44140625" style="44" customWidth="1"/>
    <col min="5132" max="5132" width="12.33203125" style="44" bestFit="1" customWidth="1"/>
    <col min="5133" max="5133" width="9.6640625" style="44" bestFit="1" customWidth="1"/>
    <col min="5134" max="5134" width="6.33203125" style="44" bestFit="1" customWidth="1"/>
    <col min="5135" max="5135" width="9.109375" style="44"/>
    <col min="5136" max="5136" width="12" style="44" customWidth="1"/>
    <col min="5137" max="5376" width="9.109375" style="44"/>
    <col min="5377" max="5377" width="5.5546875" style="44" customWidth="1"/>
    <col min="5378" max="5378" width="15.5546875" style="44" bestFit="1" customWidth="1"/>
    <col min="5379" max="5379" width="9.44140625" style="44" customWidth="1"/>
    <col min="5380" max="5380" width="12" style="44" customWidth="1"/>
    <col min="5381" max="5381" width="10.6640625" style="44" customWidth="1"/>
    <col min="5382" max="5382" width="10.5546875" style="44" customWidth="1"/>
    <col min="5383" max="5383" width="10.33203125" style="44" bestFit="1" customWidth="1"/>
    <col min="5384" max="5384" width="11" style="44" bestFit="1" customWidth="1"/>
    <col min="5385" max="5385" width="12.88671875" style="44" bestFit="1" customWidth="1"/>
    <col min="5386" max="5386" width="14.6640625" style="44" customWidth="1"/>
    <col min="5387" max="5387" width="14.44140625" style="44" customWidth="1"/>
    <col min="5388" max="5388" width="12.33203125" style="44" bestFit="1" customWidth="1"/>
    <col min="5389" max="5389" width="9.6640625" style="44" bestFit="1" customWidth="1"/>
    <col min="5390" max="5390" width="6.33203125" style="44" bestFit="1" customWidth="1"/>
    <col min="5391" max="5391" width="9.109375" style="44"/>
    <col min="5392" max="5392" width="12" style="44" customWidth="1"/>
    <col min="5393" max="5632" width="9.109375" style="44"/>
    <col min="5633" max="5633" width="5.5546875" style="44" customWidth="1"/>
    <col min="5634" max="5634" width="15.5546875" style="44" bestFit="1" customWidth="1"/>
    <col min="5635" max="5635" width="9.44140625" style="44" customWidth="1"/>
    <col min="5636" max="5636" width="12" style="44" customWidth="1"/>
    <col min="5637" max="5637" width="10.6640625" style="44" customWidth="1"/>
    <col min="5638" max="5638" width="10.5546875" style="44" customWidth="1"/>
    <col min="5639" max="5639" width="10.33203125" style="44" bestFit="1" customWidth="1"/>
    <col min="5640" max="5640" width="11" style="44" bestFit="1" customWidth="1"/>
    <col min="5641" max="5641" width="12.88671875" style="44" bestFit="1" customWidth="1"/>
    <col min="5642" max="5642" width="14.6640625" style="44" customWidth="1"/>
    <col min="5643" max="5643" width="14.44140625" style="44" customWidth="1"/>
    <col min="5644" max="5644" width="12.33203125" style="44" bestFit="1" customWidth="1"/>
    <col min="5645" max="5645" width="9.6640625" style="44" bestFit="1" customWidth="1"/>
    <col min="5646" max="5646" width="6.33203125" style="44" bestFit="1" customWidth="1"/>
    <col min="5647" max="5647" width="9.109375" style="44"/>
    <col min="5648" max="5648" width="12" style="44" customWidth="1"/>
    <col min="5649" max="5888" width="9.109375" style="44"/>
    <col min="5889" max="5889" width="5.5546875" style="44" customWidth="1"/>
    <col min="5890" max="5890" width="15.5546875" style="44" bestFit="1" customWidth="1"/>
    <col min="5891" max="5891" width="9.44140625" style="44" customWidth="1"/>
    <col min="5892" max="5892" width="12" style="44" customWidth="1"/>
    <col min="5893" max="5893" width="10.6640625" style="44" customWidth="1"/>
    <col min="5894" max="5894" width="10.5546875" style="44" customWidth="1"/>
    <col min="5895" max="5895" width="10.33203125" style="44" bestFit="1" customWidth="1"/>
    <col min="5896" max="5896" width="11" style="44" bestFit="1" customWidth="1"/>
    <col min="5897" max="5897" width="12.88671875" style="44" bestFit="1" customWidth="1"/>
    <col min="5898" max="5898" width="14.6640625" style="44" customWidth="1"/>
    <col min="5899" max="5899" width="14.44140625" style="44" customWidth="1"/>
    <col min="5900" max="5900" width="12.33203125" style="44" bestFit="1" customWidth="1"/>
    <col min="5901" max="5901" width="9.6640625" style="44" bestFit="1" customWidth="1"/>
    <col min="5902" max="5902" width="6.33203125" style="44" bestFit="1" customWidth="1"/>
    <col min="5903" max="5903" width="9.109375" style="44"/>
    <col min="5904" max="5904" width="12" style="44" customWidth="1"/>
    <col min="5905" max="6144" width="9.109375" style="44"/>
    <col min="6145" max="6145" width="5.5546875" style="44" customWidth="1"/>
    <col min="6146" max="6146" width="15.5546875" style="44" bestFit="1" customWidth="1"/>
    <col min="6147" max="6147" width="9.44140625" style="44" customWidth="1"/>
    <col min="6148" max="6148" width="12" style="44" customWidth="1"/>
    <col min="6149" max="6149" width="10.6640625" style="44" customWidth="1"/>
    <col min="6150" max="6150" width="10.5546875" style="44" customWidth="1"/>
    <col min="6151" max="6151" width="10.33203125" style="44" bestFit="1" customWidth="1"/>
    <col min="6152" max="6152" width="11" style="44" bestFit="1" customWidth="1"/>
    <col min="6153" max="6153" width="12.88671875" style="44" bestFit="1" customWidth="1"/>
    <col min="6154" max="6154" width="14.6640625" style="44" customWidth="1"/>
    <col min="6155" max="6155" width="14.44140625" style="44" customWidth="1"/>
    <col min="6156" max="6156" width="12.33203125" style="44" bestFit="1" customWidth="1"/>
    <col min="6157" max="6157" width="9.6640625" style="44" bestFit="1" customWidth="1"/>
    <col min="6158" max="6158" width="6.33203125" style="44" bestFit="1" customWidth="1"/>
    <col min="6159" max="6159" width="9.109375" style="44"/>
    <col min="6160" max="6160" width="12" style="44" customWidth="1"/>
    <col min="6161" max="6400" width="9.109375" style="44"/>
    <col min="6401" max="6401" width="5.5546875" style="44" customWidth="1"/>
    <col min="6402" max="6402" width="15.5546875" style="44" bestFit="1" customWidth="1"/>
    <col min="6403" max="6403" width="9.44140625" style="44" customWidth="1"/>
    <col min="6404" max="6404" width="12" style="44" customWidth="1"/>
    <col min="6405" max="6405" width="10.6640625" style="44" customWidth="1"/>
    <col min="6406" max="6406" width="10.5546875" style="44" customWidth="1"/>
    <col min="6407" max="6407" width="10.33203125" style="44" bestFit="1" customWidth="1"/>
    <col min="6408" max="6408" width="11" style="44" bestFit="1" customWidth="1"/>
    <col min="6409" max="6409" width="12.88671875" style="44" bestFit="1" customWidth="1"/>
    <col min="6410" max="6410" width="14.6640625" style="44" customWidth="1"/>
    <col min="6411" max="6411" width="14.44140625" style="44" customWidth="1"/>
    <col min="6412" max="6412" width="12.33203125" style="44" bestFit="1" customWidth="1"/>
    <col min="6413" max="6413" width="9.6640625" style="44" bestFit="1" customWidth="1"/>
    <col min="6414" max="6414" width="6.33203125" style="44" bestFit="1" customWidth="1"/>
    <col min="6415" max="6415" width="9.109375" style="44"/>
    <col min="6416" max="6416" width="12" style="44" customWidth="1"/>
    <col min="6417" max="6656" width="9.109375" style="44"/>
    <col min="6657" max="6657" width="5.5546875" style="44" customWidth="1"/>
    <col min="6658" max="6658" width="15.5546875" style="44" bestFit="1" customWidth="1"/>
    <col min="6659" max="6659" width="9.44140625" style="44" customWidth="1"/>
    <col min="6660" max="6660" width="12" style="44" customWidth="1"/>
    <col min="6661" max="6661" width="10.6640625" style="44" customWidth="1"/>
    <col min="6662" max="6662" width="10.5546875" style="44" customWidth="1"/>
    <col min="6663" max="6663" width="10.33203125" style="44" bestFit="1" customWidth="1"/>
    <col min="6664" max="6664" width="11" style="44" bestFit="1" customWidth="1"/>
    <col min="6665" max="6665" width="12.88671875" style="44" bestFit="1" customWidth="1"/>
    <col min="6666" max="6666" width="14.6640625" style="44" customWidth="1"/>
    <col min="6667" max="6667" width="14.44140625" style="44" customWidth="1"/>
    <col min="6668" max="6668" width="12.33203125" style="44" bestFit="1" customWidth="1"/>
    <col min="6669" max="6669" width="9.6640625" style="44" bestFit="1" customWidth="1"/>
    <col min="6670" max="6670" width="6.33203125" style="44" bestFit="1" customWidth="1"/>
    <col min="6671" max="6671" width="9.109375" style="44"/>
    <col min="6672" max="6672" width="12" style="44" customWidth="1"/>
    <col min="6673" max="6912" width="9.109375" style="44"/>
    <col min="6913" max="6913" width="5.5546875" style="44" customWidth="1"/>
    <col min="6914" max="6914" width="15.5546875" style="44" bestFit="1" customWidth="1"/>
    <col min="6915" max="6915" width="9.44140625" style="44" customWidth="1"/>
    <col min="6916" max="6916" width="12" style="44" customWidth="1"/>
    <col min="6917" max="6917" width="10.6640625" style="44" customWidth="1"/>
    <col min="6918" max="6918" width="10.5546875" style="44" customWidth="1"/>
    <col min="6919" max="6919" width="10.33203125" style="44" bestFit="1" customWidth="1"/>
    <col min="6920" max="6920" width="11" style="44" bestFit="1" customWidth="1"/>
    <col min="6921" max="6921" width="12.88671875" style="44" bestFit="1" customWidth="1"/>
    <col min="6922" max="6922" width="14.6640625" style="44" customWidth="1"/>
    <col min="6923" max="6923" width="14.44140625" style="44" customWidth="1"/>
    <col min="6924" max="6924" width="12.33203125" style="44" bestFit="1" customWidth="1"/>
    <col min="6925" max="6925" width="9.6640625" style="44" bestFit="1" customWidth="1"/>
    <col min="6926" max="6926" width="6.33203125" style="44" bestFit="1" customWidth="1"/>
    <col min="6927" max="6927" width="9.109375" style="44"/>
    <col min="6928" max="6928" width="12" style="44" customWidth="1"/>
    <col min="6929" max="7168" width="9.109375" style="44"/>
    <col min="7169" max="7169" width="5.5546875" style="44" customWidth="1"/>
    <col min="7170" max="7170" width="15.5546875" style="44" bestFit="1" customWidth="1"/>
    <col min="7171" max="7171" width="9.44140625" style="44" customWidth="1"/>
    <col min="7172" max="7172" width="12" style="44" customWidth="1"/>
    <col min="7173" max="7173" width="10.6640625" style="44" customWidth="1"/>
    <col min="7174" max="7174" width="10.5546875" style="44" customWidth="1"/>
    <col min="7175" max="7175" width="10.33203125" style="44" bestFit="1" customWidth="1"/>
    <col min="7176" max="7176" width="11" style="44" bestFit="1" customWidth="1"/>
    <col min="7177" max="7177" width="12.88671875" style="44" bestFit="1" customWidth="1"/>
    <col min="7178" max="7178" width="14.6640625" style="44" customWidth="1"/>
    <col min="7179" max="7179" width="14.44140625" style="44" customWidth="1"/>
    <col min="7180" max="7180" width="12.33203125" style="44" bestFit="1" customWidth="1"/>
    <col min="7181" max="7181" width="9.6640625" style="44" bestFit="1" customWidth="1"/>
    <col min="7182" max="7182" width="6.33203125" style="44" bestFit="1" customWidth="1"/>
    <col min="7183" max="7183" width="9.109375" style="44"/>
    <col min="7184" max="7184" width="12" style="44" customWidth="1"/>
    <col min="7185" max="7424" width="9.109375" style="44"/>
    <col min="7425" max="7425" width="5.5546875" style="44" customWidth="1"/>
    <col min="7426" max="7426" width="15.5546875" style="44" bestFit="1" customWidth="1"/>
    <col min="7427" max="7427" width="9.44140625" style="44" customWidth="1"/>
    <col min="7428" max="7428" width="12" style="44" customWidth="1"/>
    <col min="7429" max="7429" width="10.6640625" style="44" customWidth="1"/>
    <col min="7430" max="7430" width="10.5546875" style="44" customWidth="1"/>
    <col min="7431" max="7431" width="10.33203125" style="44" bestFit="1" customWidth="1"/>
    <col min="7432" max="7432" width="11" style="44" bestFit="1" customWidth="1"/>
    <col min="7433" max="7433" width="12.88671875" style="44" bestFit="1" customWidth="1"/>
    <col min="7434" max="7434" width="14.6640625" style="44" customWidth="1"/>
    <col min="7435" max="7435" width="14.44140625" style="44" customWidth="1"/>
    <col min="7436" max="7436" width="12.33203125" style="44" bestFit="1" customWidth="1"/>
    <col min="7437" max="7437" width="9.6640625" style="44" bestFit="1" customWidth="1"/>
    <col min="7438" max="7438" width="6.33203125" style="44" bestFit="1" customWidth="1"/>
    <col min="7439" max="7439" width="9.109375" style="44"/>
    <col min="7440" max="7440" width="12" style="44" customWidth="1"/>
    <col min="7441" max="7680" width="9.109375" style="44"/>
    <col min="7681" max="7681" width="5.5546875" style="44" customWidth="1"/>
    <col min="7682" max="7682" width="15.5546875" style="44" bestFit="1" customWidth="1"/>
    <col min="7683" max="7683" width="9.44140625" style="44" customWidth="1"/>
    <col min="7684" max="7684" width="12" style="44" customWidth="1"/>
    <col min="7685" max="7685" width="10.6640625" style="44" customWidth="1"/>
    <col min="7686" max="7686" width="10.5546875" style="44" customWidth="1"/>
    <col min="7687" max="7687" width="10.33203125" style="44" bestFit="1" customWidth="1"/>
    <col min="7688" max="7688" width="11" style="44" bestFit="1" customWidth="1"/>
    <col min="7689" max="7689" width="12.88671875" style="44" bestFit="1" customWidth="1"/>
    <col min="7690" max="7690" width="14.6640625" style="44" customWidth="1"/>
    <col min="7691" max="7691" width="14.44140625" style="44" customWidth="1"/>
    <col min="7692" max="7692" width="12.33203125" style="44" bestFit="1" customWidth="1"/>
    <col min="7693" max="7693" width="9.6640625" style="44" bestFit="1" customWidth="1"/>
    <col min="7694" max="7694" width="6.33203125" style="44" bestFit="1" customWidth="1"/>
    <col min="7695" max="7695" width="9.109375" style="44"/>
    <col min="7696" max="7696" width="12" style="44" customWidth="1"/>
    <col min="7697" max="7936" width="9.109375" style="44"/>
    <col min="7937" max="7937" width="5.5546875" style="44" customWidth="1"/>
    <col min="7938" max="7938" width="15.5546875" style="44" bestFit="1" customWidth="1"/>
    <col min="7939" max="7939" width="9.44140625" style="44" customWidth="1"/>
    <col min="7940" max="7940" width="12" style="44" customWidth="1"/>
    <col min="7941" max="7941" width="10.6640625" style="44" customWidth="1"/>
    <col min="7942" max="7942" width="10.5546875" style="44" customWidth="1"/>
    <col min="7943" max="7943" width="10.33203125" style="44" bestFit="1" customWidth="1"/>
    <col min="7944" max="7944" width="11" style="44" bestFit="1" customWidth="1"/>
    <col min="7945" max="7945" width="12.88671875" style="44" bestFit="1" customWidth="1"/>
    <col min="7946" max="7946" width="14.6640625" style="44" customWidth="1"/>
    <col min="7947" max="7947" width="14.44140625" style="44" customWidth="1"/>
    <col min="7948" max="7948" width="12.33203125" style="44" bestFit="1" customWidth="1"/>
    <col min="7949" max="7949" width="9.6640625" style="44" bestFit="1" customWidth="1"/>
    <col min="7950" max="7950" width="6.33203125" style="44" bestFit="1" customWidth="1"/>
    <col min="7951" max="7951" width="9.109375" style="44"/>
    <col min="7952" max="7952" width="12" style="44" customWidth="1"/>
    <col min="7953" max="8192" width="9.109375" style="44"/>
    <col min="8193" max="8193" width="5.5546875" style="44" customWidth="1"/>
    <col min="8194" max="8194" width="15.5546875" style="44" bestFit="1" customWidth="1"/>
    <col min="8195" max="8195" width="9.44140625" style="44" customWidth="1"/>
    <col min="8196" max="8196" width="12" style="44" customWidth="1"/>
    <col min="8197" max="8197" width="10.6640625" style="44" customWidth="1"/>
    <col min="8198" max="8198" width="10.5546875" style="44" customWidth="1"/>
    <col min="8199" max="8199" width="10.33203125" style="44" bestFit="1" customWidth="1"/>
    <col min="8200" max="8200" width="11" style="44" bestFit="1" customWidth="1"/>
    <col min="8201" max="8201" width="12.88671875" style="44" bestFit="1" customWidth="1"/>
    <col min="8202" max="8202" width="14.6640625" style="44" customWidth="1"/>
    <col min="8203" max="8203" width="14.44140625" style="44" customWidth="1"/>
    <col min="8204" max="8204" width="12.33203125" style="44" bestFit="1" customWidth="1"/>
    <col min="8205" max="8205" width="9.6640625" style="44" bestFit="1" customWidth="1"/>
    <col min="8206" max="8206" width="6.33203125" style="44" bestFit="1" customWidth="1"/>
    <col min="8207" max="8207" width="9.109375" style="44"/>
    <col min="8208" max="8208" width="12" style="44" customWidth="1"/>
    <col min="8209" max="8448" width="9.109375" style="44"/>
    <col min="8449" max="8449" width="5.5546875" style="44" customWidth="1"/>
    <col min="8450" max="8450" width="15.5546875" style="44" bestFit="1" customWidth="1"/>
    <col min="8451" max="8451" width="9.44140625" style="44" customWidth="1"/>
    <col min="8452" max="8452" width="12" style="44" customWidth="1"/>
    <col min="8453" max="8453" width="10.6640625" style="44" customWidth="1"/>
    <col min="8454" max="8454" width="10.5546875" style="44" customWidth="1"/>
    <col min="8455" max="8455" width="10.33203125" style="44" bestFit="1" customWidth="1"/>
    <col min="8456" max="8456" width="11" style="44" bestFit="1" customWidth="1"/>
    <col min="8457" max="8457" width="12.88671875" style="44" bestFit="1" customWidth="1"/>
    <col min="8458" max="8458" width="14.6640625" style="44" customWidth="1"/>
    <col min="8459" max="8459" width="14.44140625" style="44" customWidth="1"/>
    <col min="8460" max="8460" width="12.33203125" style="44" bestFit="1" customWidth="1"/>
    <col min="8461" max="8461" width="9.6640625" style="44" bestFit="1" customWidth="1"/>
    <col min="8462" max="8462" width="6.33203125" style="44" bestFit="1" customWidth="1"/>
    <col min="8463" max="8463" width="9.109375" style="44"/>
    <col min="8464" max="8464" width="12" style="44" customWidth="1"/>
    <col min="8465" max="8704" width="9.109375" style="44"/>
    <col min="8705" max="8705" width="5.5546875" style="44" customWidth="1"/>
    <col min="8706" max="8706" width="15.5546875" style="44" bestFit="1" customWidth="1"/>
    <col min="8707" max="8707" width="9.44140625" style="44" customWidth="1"/>
    <col min="8708" max="8708" width="12" style="44" customWidth="1"/>
    <col min="8709" max="8709" width="10.6640625" style="44" customWidth="1"/>
    <col min="8710" max="8710" width="10.5546875" style="44" customWidth="1"/>
    <col min="8711" max="8711" width="10.33203125" style="44" bestFit="1" customWidth="1"/>
    <col min="8712" max="8712" width="11" style="44" bestFit="1" customWidth="1"/>
    <col min="8713" max="8713" width="12.88671875" style="44" bestFit="1" customWidth="1"/>
    <col min="8714" max="8714" width="14.6640625" style="44" customWidth="1"/>
    <col min="8715" max="8715" width="14.44140625" style="44" customWidth="1"/>
    <col min="8716" max="8716" width="12.33203125" style="44" bestFit="1" customWidth="1"/>
    <col min="8717" max="8717" width="9.6640625" style="44" bestFit="1" customWidth="1"/>
    <col min="8718" max="8718" width="6.33203125" style="44" bestFit="1" customWidth="1"/>
    <col min="8719" max="8719" width="9.109375" style="44"/>
    <col min="8720" max="8720" width="12" style="44" customWidth="1"/>
    <col min="8721" max="8960" width="9.109375" style="44"/>
    <col min="8961" max="8961" width="5.5546875" style="44" customWidth="1"/>
    <col min="8962" max="8962" width="15.5546875" style="44" bestFit="1" customWidth="1"/>
    <col min="8963" max="8963" width="9.44140625" style="44" customWidth="1"/>
    <col min="8964" max="8964" width="12" style="44" customWidth="1"/>
    <col min="8965" max="8965" width="10.6640625" style="44" customWidth="1"/>
    <col min="8966" max="8966" width="10.5546875" style="44" customWidth="1"/>
    <col min="8967" max="8967" width="10.33203125" style="44" bestFit="1" customWidth="1"/>
    <col min="8968" max="8968" width="11" style="44" bestFit="1" customWidth="1"/>
    <col min="8969" max="8969" width="12.88671875" style="44" bestFit="1" customWidth="1"/>
    <col min="8970" max="8970" width="14.6640625" style="44" customWidth="1"/>
    <col min="8971" max="8971" width="14.44140625" style="44" customWidth="1"/>
    <col min="8972" max="8972" width="12.33203125" style="44" bestFit="1" customWidth="1"/>
    <col min="8973" max="8973" width="9.6640625" style="44" bestFit="1" customWidth="1"/>
    <col min="8974" max="8974" width="6.33203125" style="44" bestFit="1" customWidth="1"/>
    <col min="8975" max="8975" width="9.109375" style="44"/>
    <col min="8976" max="8976" width="12" style="44" customWidth="1"/>
    <col min="8977" max="9216" width="9.109375" style="44"/>
    <col min="9217" max="9217" width="5.5546875" style="44" customWidth="1"/>
    <col min="9218" max="9218" width="15.5546875" style="44" bestFit="1" customWidth="1"/>
    <col min="9219" max="9219" width="9.44140625" style="44" customWidth="1"/>
    <col min="9220" max="9220" width="12" style="44" customWidth="1"/>
    <col min="9221" max="9221" width="10.6640625" style="44" customWidth="1"/>
    <col min="9222" max="9222" width="10.5546875" style="44" customWidth="1"/>
    <col min="9223" max="9223" width="10.33203125" style="44" bestFit="1" customWidth="1"/>
    <col min="9224" max="9224" width="11" style="44" bestFit="1" customWidth="1"/>
    <col min="9225" max="9225" width="12.88671875" style="44" bestFit="1" customWidth="1"/>
    <col min="9226" max="9226" width="14.6640625" style="44" customWidth="1"/>
    <col min="9227" max="9227" width="14.44140625" style="44" customWidth="1"/>
    <col min="9228" max="9228" width="12.33203125" style="44" bestFit="1" customWidth="1"/>
    <col min="9229" max="9229" width="9.6640625" style="44" bestFit="1" customWidth="1"/>
    <col min="9230" max="9230" width="6.33203125" style="44" bestFit="1" customWidth="1"/>
    <col min="9231" max="9231" width="9.109375" style="44"/>
    <col min="9232" max="9232" width="12" style="44" customWidth="1"/>
    <col min="9233" max="9472" width="9.109375" style="44"/>
    <col min="9473" max="9473" width="5.5546875" style="44" customWidth="1"/>
    <col min="9474" max="9474" width="15.5546875" style="44" bestFit="1" customWidth="1"/>
    <col min="9475" max="9475" width="9.44140625" style="44" customWidth="1"/>
    <col min="9476" max="9476" width="12" style="44" customWidth="1"/>
    <col min="9477" max="9477" width="10.6640625" style="44" customWidth="1"/>
    <col min="9478" max="9478" width="10.5546875" style="44" customWidth="1"/>
    <col min="9479" max="9479" width="10.33203125" style="44" bestFit="1" customWidth="1"/>
    <col min="9480" max="9480" width="11" style="44" bestFit="1" customWidth="1"/>
    <col min="9481" max="9481" width="12.88671875" style="44" bestFit="1" customWidth="1"/>
    <col min="9482" max="9482" width="14.6640625" style="44" customWidth="1"/>
    <col min="9483" max="9483" width="14.44140625" style="44" customWidth="1"/>
    <col min="9484" max="9484" width="12.33203125" style="44" bestFit="1" customWidth="1"/>
    <col min="9485" max="9485" width="9.6640625" style="44" bestFit="1" customWidth="1"/>
    <col min="9486" max="9486" width="6.33203125" style="44" bestFit="1" customWidth="1"/>
    <col min="9487" max="9487" width="9.109375" style="44"/>
    <col min="9488" max="9488" width="12" style="44" customWidth="1"/>
    <col min="9489" max="9728" width="9.109375" style="44"/>
    <col min="9729" max="9729" width="5.5546875" style="44" customWidth="1"/>
    <col min="9730" max="9730" width="15.5546875" style="44" bestFit="1" customWidth="1"/>
    <col min="9731" max="9731" width="9.44140625" style="44" customWidth="1"/>
    <col min="9732" max="9732" width="12" style="44" customWidth="1"/>
    <col min="9733" max="9733" width="10.6640625" style="44" customWidth="1"/>
    <col min="9734" max="9734" width="10.5546875" style="44" customWidth="1"/>
    <col min="9735" max="9735" width="10.33203125" style="44" bestFit="1" customWidth="1"/>
    <col min="9736" max="9736" width="11" style="44" bestFit="1" customWidth="1"/>
    <col min="9737" max="9737" width="12.88671875" style="44" bestFit="1" customWidth="1"/>
    <col min="9738" max="9738" width="14.6640625" style="44" customWidth="1"/>
    <col min="9739" max="9739" width="14.44140625" style="44" customWidth="1"/>
    <col min="9740" max="9740" width="12.33203125" style="44" bestFit="1" customWidth="1"/>
    <col min="9741" max="9741" width="9.6640625" style="44" bestFit="1" customWidth="1"/>
    <col min="9742" max="9742" width="6.33203125" style="44" bestFit="1" customWidth="1"/>
    <col min="9743" max="9743" width="9.109375" style="44"/>
    <col min="9744" max="9744" width="12" style="44" customWidth="1"/>
    <col min="9745" max="9984" width="9.109375" style="44"/>
    <col min="9985" max="9985" width="5.5546875" style="44" customWidth="1"/>
    <col min="9986" max="9986" width="15.5546875" style="44" bestFit="1" customWidth="1"/>
    <col min="9987" max="9987" width="9.44140625" style="44" customWidth="1"/>
    <col min="9988" max="9988" width="12" style="44" customWidth="1"/>
    <col min="9989" max="9989" width="10.6640625" style="44" customWidth="1"/>
    <col min="9990" max="9990" width="10.5546875" style="44" customWidth="1"/>
    <col min="9991" max="9991" width="10.33203125" style="44" bestFit="1" customWidth="1"/>
    <col min="9992" max="9992" width="11" style="44" bestFit="1" customWidth="1"/>
    <col min="9993" max="9993" width="12.88671875" style="44" bestFit="1" customWidth="1"/>
    <col min="9994" max="9994" width="14.6640625" style="44" customWidth="1"/>
    <col min="9995" max="9995" width="14.44140625" style="44" customWidth="1"/>
    <col min="9996" max="9996" width="12.33203125" style="44" bestFit="1" customWidth="1"/>
    <col min="9997" max="9997" width="9.6640625" style="44" bestFit="1" customWidth="1"/>
    <col min="9998" max="9998" width="6.33203125" style="44" bestFit="1" customWidth="1"/>
    <col min="9999" max="9999" width="9.109375" style="44"/>
    <col min="10000" max="10000" width="12" style="44" customWidth="1"/>
    <col min="10001" max="10240" width="9.109375" style="44"/>
    <col min="10241" max="10241" width="5.5546875" style="44" customWidth="1"/>
    <col min="10242" max="10242" width="15.5546875" style="44" bestFit="1" customWidth="1"/>
    <col min="10243" max="10243" width="9.44140625" style="44" customWidth="1"/>
    <col min="10244" max="10244" width="12" style="44" customWidth="1"/>
    <col min="10245" max="10245" width="10.6640625" style="44" customWidth="1"/>
    <col min="10246" max="10246" width="10.5546875" style="44" customWidth="1"/>
    <col min="10247" max="10247" width="10.33203125" style="44" bestFit="1" customWidth="1"/>
    <col min="10248" max="10248" width="11" style="44" bestFit="1" customWidth="1"/>
    <col min="10249" max="10249" width="12.88671875" style="44" bestFit="1" customWidth="1"/>
    <col min="10250" max="10250" width="14.6640625" style="44" customWidth="1"/>
    <col min="10251" max="10251" width="14.44140625" style="44" customWidth="1"/>
    <col min="10252" max="10252" width="12.33203125" style="44" bestFit="1" customWidth="1"/>
    <col min="10253" max="10253" width="9.6640625" style="44" bestFit="1" customWidth="1"/>
    <col min="10254" max="10254" width="6.33203125" style="44" bestFit="1" customWidth="1"/>
    <col min="10255" max="10255" width="9.109375" style="44"/>
    <col min="10256" max="10256" width="12" style="44" customWidth="1"/>
    <col min="10257" max="10496" width="9.109375" style="44"/>
    <col min="10497" max="10497" width="5.5546875" style="44" customWidth="1"/>
    <col min="10498" max="10498" width="15.5546875" style="44" bestFit="1" customWidth="1"/>
    <col min="10499" max="10499" width="9.44140625" style="44" customWidth="1"/>
    <col min="10500" max="10500" width="12" style="44" customWidth="1"/>
    <col min="10501" max="10501" width="10.6640625" style="44" customWidth="1"/>
    <col min="10502" max="10502" width="10.5546875" style="44" customWidth="1"/>
    <col min="10503" max="10503" width="10.33203125" style="44" bestFit="1" customWidth="1"/>
    <col min="10504" max="10504" width="11" style="44" bestFit="1" customWidth="1"/>
    <col min="10505" max="10505" width="12.88671875" style="44" bestFit="1" customWidth="1"/>
    <col min="10506" max="10506" width="14.6640625" style="44" customWidth="1"/>
    <col min="10507" max="10507" width="14.44140625" style="44" customWidth="1"/>
    <col min="10508" max="10508" width="12.33203125" style="44" bestFit="1" customWidth="1"/>
    <col min="10509" max="10509" width="9.6640625" style="44" bestFit="1" customWidth="1"/>
    <col min="10510" max="10510" width="6.33203125" style="44" bestFit="1" customWidth="1"/>
    <col min="10511" max="10511" width="9.109375" style="44"/>
    <col min="10512" max="10512" width="12" style="44" customWidth="1"/>
    <col min="10513" max="10752" width="9.109375" style="44"/>
    <col min="10753" max="10753" width="5.5546875" style="44" customWidth="1"/>
    <col min="10754" max="10754" width="15.5546875" style="44" bestFit="1" customWidth="1"/>
    <col min="10755" max="10755" width="9.44140625" style="44" customWidth="1"/>
    <col min="10756" max="10756" width="12" style="44" customWidth="1"/>
    <col min="10757" max="10757" width="10.6640625" style="44" customWidth="1"/>
    <col min="10758" max="10758" width="10.5546875" style="44" customWidth="1"/>
    <col min="10759" max="10759" width="10.33203125" style="44" bestFit="1" customWidth="1"/>
    <col min="10760" max="10760" width="11" style="44" bestFit="1" customWidth="1"/>
    <col min="10761" max="10761" width="12.88671875" style="44" bestFit="1" customWidth="1"/>
    <col min="10762" max="10762" width="14.6640625" style="44" customWidth="1"/>
    <col min="10763" max="10763" width="14.44140625" style="44" customWidth="1"/>
    <col min="10764" max="10764" width="12.33203125" style="44" bestFit="1" customWidth="1"/>
    <col min="10765" max="10765" width="9.6640625" style="44" bestFit="1" customWidth="1"/>
    <col min="10766" max="10766" width="6.33203125" style="44" bestFit="1" customWidth="1"/>
    <col min="10767" max="10767" width="9.109375" style="44"/>
    <col min="10768" max="10768" width="12" style="44" customWidth="1"/>
    <col min="10769" max="11008" width="9.109375" style="44"/>
    <col min="11009" max="11009" width="5.5546875" style="44" customWidth="1"/>
    <col min="11010" max="11010" width="15.5546875" style="44" bestFit="1" customWidth="1"/>
    <col min="11011" max="11011" width="9.44140625" style="44" customWidth="1"/>
    <col min="11012" max="11012" width="12" style="44" customWidth="1"/>
    <col min="11013" max="11013" width="10.6640625" style="44" customWidth="1"/>
    <col min="11014" max="11014" width="10.5546875" style="44" customWidth="1"/>
    <col min="11015" max="11015" width="10.33203125" style="44" bestFit="1" customWidth="1"/>
    <col min="11016" max="11016" width="11" style="44" bestFit="1" customWidth="1"/>
    <col min="11017" max="11017" width="12.88671875" style="44" bestFit="1" customWidth="1"/>
    <col min="11018" max="11018" width="14.6640625" style="44" customWidth="1"/>
    <col min="11019" max="11019" width="14.44140625" style="44" customWidth="1"/>
    <col min="11020" max="11020" width="12.33203125" style="44" bestFit="1" customWidth="1"/>
    <col min="11021" max="11021" width="9.6640625" style="44" bestFit="1" customWidth="1"/>
    <col min="11022" max="11022" width="6.33203125" style="44" bestFit="1" customWidth="1"/>
    <col min="11023" max="11023" width="9.109375" style="44"/>
    <col min="11024" max="11024" width="12" style="44" customWidth="1"/>
    <col min="11025" max="11264" width="9.109375" style="44"/>
    <col min="11265" max="11265" width="5.5546875" style="44" customWidth="1"/>
    <col min="11266" max="11266" width="15.5546875" style="44" bestFit="1" customWidth="1"/>
    <col min="11267" max="11267" width="9.44140625" style="44" customWidth="1"/>
    <col min="11268" max="11268" width="12" style="44" customWidth="1"/>
    <col min="11269" max="11269" width="10.6640625" style="44" customWidth="1"/>
    <col min="11270" max="11270" width="10.5546875" style="44" customWidth="1"/>
    <col min="11271" max="11271" width="10.33203125" style="44" bestFit="1" customWidth="1"/>
    <col min="11272" max="11272" width="11" style="44" bestFit="1" customWidth="1"/>
    <col min="11273" max="11273" width="12.88671875" style="44" bestFit="1" customWidth="1"/>
    <col min="11274" max="11274" width="14.6640625" style="44" customWidth="1"/>
    <col min="11275" max="11275" width="14.44140625" style="44" customWidth="1"/>
    <col min="11276" max="11276" width="12.33203125" style="44" bestFit="1" customWidth="1"/>
    <col min="11277" max="11277" width="9.6640625" style="44" bestFit="1" customWidth="1"/>
    <col min="11278" max="11278" width="6.33203125" style="44" bestFit="1" customWidth="1"/>
    <col min="11279" max="11279" width="9.109375" style="44"/>
    <col min="11280" max="11280" width="12" style="44" customWidth="1"/>
    <col min="11281" max="11520" width="9.109375" style="44"/>
    <col min="11521" max="11521" width="5.5546875" style="44" customWidth="1"/>
    <col min="11522" max="11522" width="15.5546875" style="44" bestFit="1" customWidth="1"/>
    <col min="11523" max="11523" width="9.44140625" style="44" customWidth="1"/>
    <col min="11524" max="11524" width="12" style="44" customWidth="1"/>
    <col min="11525" max="11525" width="10.6640625" style="44" customWidth="1"/>
    <col min="11526" max="11526" width="10.5546875" style="44" customWidth="1"/>
    <col min="11527" max="11527" width="10.33203125" style="44" bestFit="1" customWidth="1"/>
    <col min="11528" max="11528" width="11" style="44" bestFit="1" customWidth="1"/>
    <col min="11529" max="11529" width="12.88671875" style="44" bestFit="1" customWidth="1"/>
    <col min="11530" max="11530" width="14.6640625" style="44" customWidth="1"/>
    <col min="11531" max="11531" width="14.44140625" style="44" customWidth="1"/>
    <col min="11532" max="11532" width="12.33203125" style="44" bestFit="1" customWidth="1"/>
    <col min="11533" max="11533" width="9.6640625" style="44" bestFit="1" customWidth="1"/>
    <col min="11534" max="11534" width="6.33203125" style="44" bestFit="1" customWidth="1"/>
    <col min="11535" max="11535" width="9.109375" style="44"/>
    <col min="11536" max="11536" width="12" style="44" customWidth="1"/>
    <col min="11537" max="11776" width="9.109375" style="44"/>
    <col min="11777" max="11777" width="5.5546875" style="44" customWidth="1"/>
    <col min="11778" max="11778" width="15.5546875" style="44" bestFit="1" customWidth="1"/>
    <col min="11779" max="11779" width="9.44140625" style="44" customWidth="1"/>
    <col min="11780" max="11780" width="12" style="44" customWidth="1"/>
    <col min="11781" max="11781" width="10.6640625" style="44" customWidth="1"/>
    <col min="11782" max="11782" width="10.5546875" style="44" customWidth="1"/>
    <col min="11783" max="11783" width="10.33203125" style="44" bestFit="1" customWidth="1"/>
    <col min="11784" max="11784" width="11" style="44" bestFit="1" customWidth="1"/>
    <col min="11785" max="11785" width="12.88671875" style="44" bestFit="1" customWidth="1"/>
    <col min="11786" max="11786" width="14.6640625" style="44" customWidth="1"/>
    <col min="11787" max="11787" width="14.44140625" style="44" customWidth="1"/>
    <col min="11788" max="11788" width="12.33203125" style="44" bestFit="1" customWidth="1"/>
    <col min="11789" max="11789" width="9.6640625" style="44" bestFit="1" customWidth="1"/>
    <col min="11790" max="11790" width="6.33203125" style="44" bestFit="1" customWidth="1"/>
    <col min="11791" max="11791" width="9.109375" style="44"/>
    <col min="11792" max="11792" width="12" style="44" customWidth="1"/>
    <col min="11793" max="12032" width="9.109375" style="44"/>
    <col min="12033" max="12033" width="5.5546875" style="44" customWidth="1"/>
    <col min="12034" max="12034" width="15.5546875" style="44" bestFit="1" customWidth="1"/>
    <col min="12035" max="12035" width="9.44140625" style="44" customWidth="1"/>
    <col min="12036" max="12036" width="12" style="44" customWidth="1"/>
    <col min="12037" max="12037" width="10.6640625" style="44" customWidth="1"/>
    <col min="12038" max="12038" width="10.5546875" style="44" customWidth="1"/>
    <col min="12039" max="12039" width="10.33203125" style="44" bestFit="1" customWidth="1"/>
    <col min="12040" max="12040" width="11" style="44" bestFit="1" customWidth="1"/>
    <col min="12041" max="12041" width="12.88671875" style="44" bestFit="1" customWidth="1"/>
    <col min="12042" max="12042" width="14.6640625" style="44" customWidth="1"/>
    <col min="12043" max="12043" width="14.44140625" style="44" customWidth="1"/>
    <col min="12044" max="12044" width="12.33203125" style="44" bestFit="1" customWidth="1"/>
    <col min="12045" max="12045" width="9.6640625" style="44" bestFit="1" customWidth="1"/>
    <col min="12046" max="12046" width="6.33203125" style="44" bestFit="1" customWidth="1"/>
    <col min="12047" max="12047" width="9.109375" style="44"/>
    <col min="12048" max="12048" width="12" style="44" customWidth="1"/>
    <col min="12049" max="12288" width="9.109375" style="44"/>
    <col min="12289" max="12289" width="5.5546875" style="44" customWidth="1"/>
    <col min="12290" max="12290" width="15.5546875" style="44" bestFit="1" customWidth="1"/>
    <col min="12291" max="12291" width="9.44140625" style="44" customWidth="1"/>
    <col min="12292" max="12292" width="12" style="44" customWidth="1"/>
    <col min="12293" max="12293" width="10.6640625" style="44" customWidth="1"/>
    <col min="12294" max="12294" width="10.5546875" style="44" customWidth="1"/>
    <col min="12295" max="12295" width="10.33203125" style="44" bestFit="1" customWidth="1"/>
    <col min="12296" max="12296" width="11" style="44" bestFit="1" customWidth="1"/>
    <col min="12297" max="12297" width="12.88671875" style="44" bestFit="1" customWidth="1"/>
    <col min="12298" max="12298" width="14.6640625" style="44" customWidth="1"/>
    <col min="12299" max="12299" width="14.44140625" style="44" customWidth="1"/>
    <col min="12300" max="12300" width="12.33203125" style="44" bestFit="1" customWidth="1"/>
    <col min="12301" max="12301" width="9.6640625" style="44" bestFit="1" customWidth="1"/>
    <col min="12302" max="12302" width="6.33203125" style="44" bestFit="1" customWidth="1"/>
    <col min="12303" max="12303" width="9.109375" style="44"/>
    <col min="12304" max="12304" width="12" style="44" customWidth="1"/>
    <col min="12305" max="12544" width="9.109375" style="44"/>
    <col min="12545" max="12545" width="5.5546875" style="44" customWidth="1"/>
    <col min="12546" max="12546" width="15.5546875" style="44" bestFit="1" customWidth="1"/>
    <col min="12547" max="12547" width="9.44140625" style="44" customWidth="1"/>
    <col min="12548" max="12548" width="12" style="44" customWidth="1"/>
    <col min="12549" max="12549" width="10.6640625" style="44" customWidth="1"/>
    <col min="12550" max="12550" width="10.5546875" style="44" customWidth="1"/>
    <col min="12551" max="12551" width="10.33203125" style="44" bestFit="1" customWidth="1"/>
    <col min="12552" max="12552" width="11" style="44" bestFit="1" customWidth="1"/>
    <col min="12553" max="12553" width="12.88671875" style="44" bestFit="1" customWidth="1"/>
    <col min="12554" max="12554" width="14.6640625" style="44" customWidth="1"/>
    <col min="12555" max="12555" width="14.44140625" style="44" customWidth="1"/>
    <col min="12556" max="12556" width="12.33203125" style="44" bestFit="1" customWidth="1"/>
    <col min="12557" max="12557" width="9.6640625" style="44" bestFit="1" customWidth="1"/>
    <col min="12558" max="12558" width="6.33203125" style="44" bestFit="1" customWidth="1"/>
    <col min="12559" max="12559" width="9.109375" style="44"/>
    <col min="12560" max="12560" width="12" style="44" customWidth="1"/>
    <col min="12561" max="12800" width="9.109375" style="44"/>
    <col min="12801" max="12801" width="5.5546875" style="44" customWidth="1"/>
    <col min="12802" max="12802" width="15.5546875" style="44" bestFit="1" customWidth="1"/>
    <col min="12803" max="12803" width="9.44140625" style="44" customWidth="1"/>
    <col min="12804" max="12804" width="12" style="44" customWidth="1"/>
    <col min="12805" max="12805" width="10.6640625" style="44" customWidth="1"/>
    <col min="12806" max="12806" width="10.5546875" style="44" customWidth="1"/>
    <col min="12807" max="12807" width="10.33203125" style="44" bestFit="1" customWidth="1"/>
    <col min="12808" max="12808" width="11" style="44" bestFit="1" customWidth="1"/>
    <col min="12809" max="12809" width="12.88671875" style="44" bestFit="1" customWidth="1"/>
    <col min="12810" max="12810" width="14.6640625" style="44" customWidth="1"/>
    <col min="12811" max="12811" width="14.44140625" style="44" customWidth="1"/>
    <col min="12812" max="12812" width="12.33203125" style="44" bestFit="1" customWidth="1"/>
    <col min="12813" max="12813" width="9.6640625" style="44" bestFit="1" customWidth="1"/>
    <col min="12814" max="12814" width="6.33203125" style="44" bestFit="1" customWidth="1"/>
    <col min="12815" max="12815" width="9.109375" style="44"/>
    <col min="12816" max="12816" width="12" style="44" customWidth="1"/>
    <col min="12817" max="13056" width="9.109375" style="44"/>
    <col min="13057" max="13057" width="5.5546875" style="44" customWidth="1"/>
    <col min="13058" max="13058" width="15.5546875" style="44" bestFit="1" customWidth="1"/>
    <col min="13059" max="13059" width="9.44140625" style="44" customWidth="1"/>
    <col min="13060" max="13060" width="12" style="44" customWidth="1"/>
    <col min="13061" max="13061" width="10.6640625" style="44" customWidth="1"/>
    <col min="13062" max="13062" width="10.5546875" style="44" customWidth="1"/>
    <col min="13063" max="13063" width="10.33203125" style="44" bestFit="1" customWidth="1"/>
    <col min="13064" max="13064" width="11" style="44" bestFit="1" customWidth="1"/>
    <col min="13065" max="13065" width="12.88671875" style="44" bestFit="1" customWidth="1"/>
    <col min="13066" max="13066" width="14.6640625" style="44" customWidth="1"/>
    <col min="13067" max="13067" width="14.44140625" style="44" customWidth="1"/>
    <col min="13068" max="13068" width="12.33203125" style="44" bestFit="1" customWidth="1"/>
    <col min="13069" max="13069" width="9.6640625" style="44" bestFit="1" customWidth="1"/>
    <col min="13070" max="13070" width="6.33203125" style="44" bestFit="1" customWidth="1"/>
    <col min="13071" max="13071" width="9.109375" style="44"/>
    <col min="13072" max="13072" width="12" style="44" customWidth="1"/>
    <col min="13073" max="13312" width="9.109375" style="44"/>
    <col min="13313" max="13313" width="5.5546875" style="44" customWidth="1"/>
    <col min="13314" max="13314" width="15.5546875" style="44" bestFit="1" customWidth="1"/>
    <col min="13315" max="13315" width="9.44140625" style="44" customWidth="1"/>
    <col min="13316" max="13316" width="12" style="44" customWidth="1"/>
    <col min="13317" max="13317" width="10.6640625" style="44" customWidth="1"/>
    <col min="13318" max="13318" width="10.5546875" style="44" customWidth="1"/>
    <col min="13319" max="13319" width="10.33203125" style="44" bestFit="1" customWidth="1"/>
    <col min="13320" max="13320" width="11" style="44" bestFit="1" customWidth="1"/>
    <col min="13321" max="13321" width="12.88671875" style="44" bestFit="1" customWidth="1"/>
    <col min="13322" max="13322" width="14.6640625" style="44" customWidth="1"/>
    <col min="13323" max="13323" width="14.44140625" style="44" customWidth="1"/>
    <col min="13324" max="13324" width="12.33203125" style="44" bestFit="1" customWidth="1"/>
    <col min="13325" max="13325" width="9.6640625" style="44" bestFit="1" customWidth="1"/>
    <col min="13326" max="13326" width="6.33203125" style="44" bestFit="1" customWidth="1"/>
    <col min="13327" max="13327" width="9.109375" style="44"/>
    <col min="13328" max="13328" width="12" style="44" customWidth="1"/>
    <col min="13329" max="13568" width="9.109375" style="44"/>
    <col min="13569" max="13569" width="5.5546875" style="44" customWidth="1"/>
    <col min="13570" max="13570" width="15.5546875" style="44" bestFit="1" customWidth="1"/>
    <col min="13571" max="13571" width="9.44140625" style="44" customWidth="1"/>
    <col min="13572" max="13572" width="12" style="44" customWidth="1"/>
    <col min="13573" max="13573" width="10.6640625" style="44" customWidth="1"/>
    <col min="13574" max="13574" width="10.5546875" style="44" customWidth="1"/>
    <col min="13575" max="13575" width="10.33203125" style="44" bestFit="1" customWidth="1"/>
    <col min="13576" max="13576" width="11" style="44" bestFit="1" customWidth="1"/>
    <col min="13577" max="13577" width="12.88671875" style="44" bestFit="1" customWidth="1"/>
    <col min="13578" max="13578" width="14.6640625" style="44" customWidth="1"/>
    <col min="13579" max="13579" width="14.44140625" style="44" customWidth="1"/>
    <col min="13580" max="13580" width="12.33203125" style="44" bestFit="1" customWidth="1"/>
    <col min="13581" max="13581" width="9.6640625" style="44" bestFit="1" customWidth="1"/>
    <col min="13582" max="13582" width="6.33203125" style="44" bestFit="1" customWidth="1"/>
    <col min="13583" max="13583" width="9.109375" style="44"/>
    <col min="13584" max="13584" width="12" style="44" customWidth="1"/>
    <col min="13585" max="13824" width="9.109375" style="44"/>
    <col min="13825" max="13825" width="5.5546875" style="44" customWidth="1"/>
    <col min="13826" max="13826" width="15.5546875" style="44" bestFit="1" customWidth="1"/>
    <col min="13827" max="13827" width="9.44140625" style="44" customWidth="1"/>
    <col min="13828" max="13828" width="12" style="44" customWidth="1"/>
    <col min="13829" max="13829" width="10.6640625" style="44" customWidth="1"/>
    <col min="13830" max="13830" width="10.5546875" style="44" customWidth="1"/>
    <col min="13831" max="13831" width="10.33203125" style="44" bestFit="1" customWidth="1"/>
    <col min="13832" max="13832" width="11" style="44" bestFit="1" customWidth="1"/>
    <col min="13833" max="13833" width="12.88671875" style="44" bestFit="1" customWidth="1"/>
    <col min="13834" max="13834" width="14.6640625" style="44" customWidth="1"/>
    <col min="13835" max="13835" width="14.44140625" style="44" customWidth="1"/>
    <col min="13836" max="13836" width="12.33203125" style="44" bestFit="1" customWidth="1"/>
    <col min="13837" max="13837" width="9.6640625" style="44" bestFit="1" customWidth="1"/>
    <col min="13838" max="13838" width="6.33203125" style="44" bestFit="1" customWidth="1"/>
    <col min="13839" max="13839" width="9.109375" style="44"/>
    <col min="13840" max="13840" width="12" style="44" customWidth="1"/>
    <col min="13841" max="14080" width="9.109375" style="44"/>
    <col min="14081" max="14081" width="5.5546875" style="44" customWidth="1"/>
    <col min="14082" max="14082" width="15.5546875" style="44" bestFit="1" customWidth="1"/>
    <col min="14083" max="14083" width="9.44140625" style="44" customWidth="1"/>
    <col min="14084" max="14084" width="12" style="44" customWidth="1"/>
    <col min="14085" max="14085" width="10.6640625" style="44" customWidth="1"/>
    <col min="14086" max="14086" width="10.5546875" style="44" customWidth="1"/>
    <col min="14087" max="14087" width="10.33203125" style="44" bestFit="1" customWidth="1"/>
    <col min="14088" max="14088" width="11" style="44" bestFit="1" customWidth="1"/>
    <col min="14089" max="14089" width="12.88671875" style="44" bestFit="1" customWidth="1"/>
    <col min="14090" max="14090" width="14.6640625" style="44" customWidth="1"/>
    <col min="14091" max="14091" width="14.44140625" style="44" customWidth="1"/>
    <col min="14092" max="14092" width="12.33203125" style="44" bestFit="1" customWidth="1"/>
    <col min="14093" max="14093" width="9.6640625" style="44" bestFit="1" customWidth="1"/>
    <col min="14094" max="14094" width="6.33203125" style="44" bestFit="1" customWidth="1"/>
    <col min="14095" max="14095" width="9.109375" style="44"/>
    <col min="14096" max="14096" width="12" style="44" customWidth="1"/>
    <col min="14097" max="14336" width="9.109375" style="44"/>
    <col min="14337" max="14337" width="5.5546875" style="44" customWidth="1"/>
    <col min="14338" max="14338" width="15.5546875" style="44" bestFit="1" customWidth="1"/>
    <col min="14339" max="14339" width="9.44140625" style="44" customWidth="1"/>
    <col min="14340" max="14340" width="12" style="44" customWidth="1"/>
    <col min="14341" max="14341" width="10.6640625" style="44" customWidth="1"/>
    <col min="14342" max="14342" width="10.5546875" style="44" customWidth="1"/>
    <col min="14343" max="14343" width="10.33203125" style="44" bestFit="1" customWidth="1"/>
    <col min="14344" max="14344" width="11" style="44" bestFit="1" customWidth="1"/>
    <col min="14345" max="14345" width="12.88671875" style="44" bestFit="1" customWidth="1"/>
    <col min="14346" max="14346" width="14.6640625" style="44" customWidth="1"/>
    <col min="14347" max="14347" width="14.44140625" style="44" customWidth="1"/>
    <col min="14348" max="14348" width="12.33203125" style="44" bestFit="1" customWidth="1"/>
    <col min="14349" max="14349" width="9.6640625" style="44" bestFit="1" customWidth="1"/>
    <col min="14350" max="14350" width="6.33203125" style="44" bestFit="1" customWidth="1"/>
    <col min="14351" max="14351" width="9.109375" style="44"/>
    <col min="14352" max="14352" width="12" style="44" customWidth="1"/>
    <col min="14353" max="14592" width="9.109375" style="44"/>
    <col min="14593" max="14593" width="5.5546875" style="44" customWidth="1"/>
    <col min="14594" max="14594" width="15.5546875" style="44" bestFit="1" customWidth="1"/>
    <col min="14595" max="14595" width="9.44140625" style="44" customWidth="1"/>
    <col min="14596" max="14596" width="12" style="44" customWidth="1"/>
    <col min="14597" max="14597" width="10.6640625" style="44" customWidth="1"/>
    <col min="14598" max="14598" width="10.5546875" style="44" customWidth="1"/>
    <col min="14599" max="14599" width="10.33203125" style="44" bestFit="1" customWidth="1"/>
    <col min="14600" max="14600" width="11" style="44" bestFit="1" customWidth="1"/>
    <col min="14601" max="14601" width="12.88671875" style="44" bestFit="1" customWidth="1"/>
    <col min="14602" max="14602" width="14.6640625" style="44" customWidth="1"/>
    <col min="14603" max="14603" width="14.44140625" style="44" customWidth="1"/>
    <col min="14604" max="14604" width="12.33203125" style="44" bestFit="1" customWidth="1"/>
    <col min="14605" max="14605" width="9.6640625" style="44" bestFit="1" customWidth="1"/>
    <col min="14606" max="14606" width="6.33203125" style="44" bestFit="1" customWidth="1"/>
    <col min="14607" max="14607" width="9.109375" style="44"/>
    <col min="14608" max="14608" width="12" style="44" customWidth="1"/>
    <col min="14609" max="14848" width="9.109375" style="44"/>
    <col min="14849" max="14849" width="5.5546875" style="44" customWidth="1"/>
    <col min="14850" max="14850" width="15.5546875" style="44" bestFit="1" customWidth="1"/>
    <col min="14851" max="14851" width="9.44140625" style="44" customWidth="1"/>
    <col min="14852" max="14852" width="12" style="44" customWidth="1"/>
    <col min="14853" max="14853" width="10.6640625" style="44" customWidth="1"/>
    <col min="14854" max="14854" width="10.5546875" style="44" customWidth="1"/>
    <col min="14855" max="14855" width="10.33203125" style="44" bestFit="1" customWidth="1"/>
    <col min="14856" max="14856" width="11" style="44" bestFit="1" customWidth="1"/>
    <col min="14857" max="14857" width="12.88671875" style="44" bestFit="1" customWidth="1"/>
    <col min="14858" max="14858" width="14.6640625" style="44" customWidth="1"/>
    <col min="14859" max="14859" width="14.44140625" style="44" customWidth="1"/>
    <col min="14860" max="14860" width="12.33203125" style="44" bestFit="1" customWidth="1"/>
    <col min="14861" max="14861" width="9.6640625" style="44" bestFit="1" customWidth="1"/>
    <col min="14862" max="14862" width="6.33203125" style="44" bestFit="1" customWidth="1"/>
    <col min="14863" max="14863" width="9.109375" style="44"/>
    <col min="14864" max="14864" width="12" style="44" customWidth="1"/>
    <col min="14865" max="15104" width="9.109375" style="44"/>
    <col min="15105" max="15105" width="5.5546875" style="44" customWidth="1"/>
    <col min="15106" max="15106" width="15.5546875" style="44" bestFit="1" customWidth="1"/>
    <col min="15107" max="15107" width="9.44140625" style="44" customWidth="1"/>
    <col min="15108" max="15108" width="12" style="44" customWidth="1"/>
    <col min="15109" max="15109" width="10.6640625" style="44" customWidth="1"/>
    <col min="15110" max="15110" width="10.5546875" style="44" customWidth="1"/>
    <col min="15111" max="15111" width="10.33203125" style="44" bestFit="1" customWidth="1"/>
    <col min="15112" max="15112" width="11" style="44" bestFit="1" customWidth="1"/>
    <col min="15113" max="15113" width="12.88671875" style="44" bestFit="1" customWidth="1"/>
    <col min="15114" max="15114" width="14.6640625" style="44" customWidth="1"/>
    <col min="15115" max="15115" width="14.44140625" style="44" customWidth="1"/>
    <col min="15116" max="15116" width="12.33203125" style="44" bestFit="1" customWidth="1"/>
    <col min="15117" max="15117" width="9.6640625" style="44" bestFit="1" customWidth="1"/>
    <col min="15118" max="15118" width="6.33203125" style="44" bestFit="1" customWidth="1"/>
    <col min="15119" max="15119" width="9.109375" style="44"/>
    <col min="15120" max="15120" width="12" style="44" customWidth="1"/>
    <col min="15121" max="15360" width="9.109375" style="44"/>
    <col min="15361" max="15361" width="5.5546875" style="44" customWidth="1"/>
    <col min="15362" max="15362" width="15.5546875" style="44" bestFit="1" customWidth="1"/>
    <col min="15363" max="15363" width="9.44140625" style="44" customWidth="1"/>
    <col min="15364" max="15364" width="12" style="44" customWidth="1"/>
    <col min="15365" max="15365" width="10.6640625" style="44" customWidth="1"/>
    <col min="15366" max="15366" width="10.5546875" style="44" customWidth="1"/>
    <col min="15367" max="15367" width="10.33203125" style="44" bestFit="1" customWidth="1"/>
    <col min="15368" max="15368" width="11" style="44" bestFit="1" customWidth="1"/>
    <col min="15369" max="15369" width="12.88671875" style="44" bestFit="1" customWidth="1"/>
    <col min="15370" max="15370" width="14.6640625" style="44" customWidth="1"/>
    <col min="15371" max="15371" width="14.44140625" style="44" customWidth="1"/>
    <col min="15372" max="15372" width="12.33203125" style="44" bestFit="1" customWidth="1"/>
    <col min="15373" max="15373" width="9.6640625" style="44" bestFit="1" customWidth="1"/>
    <col min="15374" max="15374" width="6.33203125" style="44" bestFit="1" customWidth="1"/>
    <col min="15375" max="15375" width="9.109375" style="44"/>
    <col min="15376" max="15376" width="12" style="44" customWidth="1"/>
    <col min="15377" max="15616" width="9.109375" style="44"/>
    <col min="15617" max="15617" width="5.5546875" style="44" customWidth="1"/>
    <col min="15618" max="15618" width="15.5546875" style="44" bestFit="1" customWidth="1"/>
    <col min="15619" max="15619" width="9.44140625" style="44" customWidth="1"/>
    <col min="15620" max="15620" width="12" style="44" customWidth="1"/>
    <col min="15621" max="15621" width="10.6640625" style="44" customWidth="1"/>
    <col min="15622" max="15622" width="10.5546875" style="44" customWidth="1"/>
    <col min="15623" max="15623" width="10.33203125" style="44" bestFit="1" customWidth="1"/>
    <col min="15624" max="15624" width="11" style="44" bestFit="1" customWidth="1"/>
    <col min="15625" max="15625" width="12.88671875" style="44" bestFit="1" customWidth="1"/>
    <col min="15626" max="15626" width="14.6640625" style="44" customWidth="1"/>
    <col min="15627" max="15627" width="14.44140625" style="44" customWidth="1"/>
    <col min="15628" max="15628" width="12.33203125" style="44" bestFit="1" customWidth="1"/>
    <col min="15629" max="15629" width="9.6640625" style="44" bestFit="1" customWidth="1"/>
    <col min="15630" max="15630" width="6.33203125" style="44" bestFit="1" customWidth="1"/>
    <col min="15631" max="15631" width="9.109375" style="44"/>
    <col min="15632" max="15632" width="12" style="44" customWidth="1"/>
    <col min="15633" max="15872" width="9.109375" style="44"/>
    <col min="15873" max="15873" width="5.5546875" style="44" customWidth="1"/>
    <col min="15874" max="15874" width="15.5546875" style="44" bestFit="1" customWidth="1"/>
    <col min="15875" max="15875" width="9.44140625" style="44" customWidth="1"/>
    <col min="15876" max="15876" width="12" style="44" customWidth="1"/>
    <col min="15877" max="15877" width="10.6640625" style="44" customWidth="1"/>
    <col min="15878" max="15878" width="10.5546875" style="44" customWidth="1"/>
    <col min="15879" max="15879" width="10.33203125" style="44" bestFit="1" customWidth="1"/>
    <col min="15880" max="15880" width="11" style="44" bestFit="1" customWidth="1"/>
    <col min="15881" max="15881" width="12.88671875" style="44" bestFit="1" customWidth="1"/>
    <col min="15882" max="15882" width="14.6640625" style="44" customWidth="1"/>
    <col min="15883" max="15883" width="14.44140625" style="44" customWidth="1"/>
    <col min="15884" max="15884" width="12.33203125" style="44" bestFit="1" customWidth="1"/>
    <col min="15885" max="15885" width="9.6640625" style="44" bestFit="1" customWidth="1"/>
    <col min="15886" max="15886" width="6.33203125" style="44" bestFit="1" customWidth="1"/>
    <col min="15887" max="15887" width="9.109375" style="44"/>
    <col min="15888" max="15888" width="12" style="44" customWidth="1"/>
    <col min="15889" max="16128" width="9.109375" style="44"/>
    <col min="16129" max="16129" width="5.5546875" style="44" customWidth="1"/>
    <col min="16130" max="16130" width="15.5546875" style="44" bestFit="1" customWidth="1"/>
    <col min="16131" max="16131" width="9.44140625" style="44" customWidth="1"/>
    <col min="16132" max="16132" width="12" style="44" customWidth="1"/>
    <col min="16133" max="16133" width="10.6640625" style="44" customWidth="1"/>
    <col min="16134" max="16134" width="10.5546875" style="44" customWidth="1"/>
    <col min="16135" max="16135" width="10.33203125" style="44" bestFit="1" customWidth="1"/>
    <col min="16136" max="16136" width="11" style="44" bestFit="1" customWidth="1"/>
    <col min="16137" max="16137" width="12.88671875" style="44" bestFit="1" customWidth="1"/>
    <col min="16138" max="16138" width="14.6640625" style="44" customWidth="1"/>
    <col min="16139" max="16139" width="14.44140625" style="44" customWidth="1"/>
    <col min="16140" max="16140" width="12.33203125" style="44" bestFit="1" customWidth="1"/>
    <col min="16141" max="16141" width="9.6640625" style="44" bestFit="1" customWidth="1"/>
    <col min="16142" max="16142" width="6.33203125" style="44" bestFit="1" customWidth="1"/>
    <col min="16143" max="16143" width="9.109375" style="44"/>
    <col min="16144" max="16144" width="12" style="44" customWidth="1"/>
    <col min="16145" max="16384" width="9.109375" style="44"/>
  </cols>
  <sheetData>
    <row r="1" spans="2:15" s="1" customFormat="1" x14ac:dyDescent="0.25"/>
    <row r="2" spans="2:15" s="1" customFormat="1" x14ac:dyDescent="0.25"/>
    <row r="3" spans="2:15" s="1" customFormat="1" x14ac:dyDescent="0.25"/>
    <row r="4" spans="2:15" s="1" customFormat="1" x14ac:dyDescent="0.25"/>
    <row r="5" spans="2:15" s="1" customFormat="1" x14ac:dyDescent="0.25"/>
    <row r="6" spans="2:15" s="1" customFormat="1" x14ac:dyDescent="0.25"/>
    <row r="7" spans="2:15" s="1" customFormat="1" x14ac:dyDescent="0.25"/>
    <row r="8" spans="2:15" s="1" customFormat="1" x14ac:dyDescent="0.25"/>
    <row r="9" spans="2:15" ht="13.8" thickBot="1" x14ac:dyDescent="0.3"/>
    <row r="10" spans="2:15" ht="13.8" thickBot="1" x14ac:dyDescent="0.3">
      <c r="B10" s="45" t="s">
        <v>0</v>
      </c>
      <c r="C10" s="46"/>
      <c r="E10" s="47"/>
      <c r="F10" s="48" t="s">
        <v>30</v>
      </c>
      <c r="G10" s="48"/>
      <c r="H10" s="49"/>
      <c r="I10" s="50"/>
      <c r="K10" s="51"/>
      <c r="M10" s="44" t="s">
        <v>31</v>
      </c>
      <c r="N10" s="44" t="s">
        <v>32</v>
      </c>
      <c r="O10" s="51"/>
    </row>
    <row r="11" spans="2:15" ht="13.8" thickBot="1" x14ac:dyDescent="0.3">
      <c r="B11" s="47" t="s">
        <v>33</v>
      </c>
      <c r="C11" s="52">
        <f ca="1">OFFSET(E18,0,H11-1,1,1)/10000</f>
        <v>2.5000000000000001E-3</v>
      </c>
      <c r="E11" s="146" t="s">
        <v>34</v>
      </c>
      <c r="F11" s="147"/>
      <c r="G11" s="147"/>
      <c r="H11" s="53">
        <v>2</v>
      </c>
      <c r="K11" s="51"/>
      <c r="L11" s="54">
        <v>0</v>
      </c>
      <c r="N11" s="50">
        <f ca="1">IF(InterpType="Linear",Linterp($C$23:$C$27,$E$23:$E$27,L11),(cubic_spline($C$23:$C$29,$E$23:$E$29,L11)))</f>
        <v>7.5404316186904907E-2</v>
      </c>
      <c r="O11" s="51"/>
    </row>
    <row r="12" spans="2:15" ht="13.8" thickBot="1" x14ac:dyDescent="0.3">
      <c r="B12" s="55" t="s">
        <v>1</v>
      </c>
      <c r="C12" s="56">
        <v>0.4</v>
      </c>
      <c r="E12" s="57" t="s">
        <v>34</v>
      </c>
      <c r="F12" s="58" t="s">
        <v>35</v>
      </c>
      <c r="G12" s="59" t="s">
        <v>36</v>
      </c>
      <c r="H12" s="59" t="s">
        <v>37</v>
      </c>
      <c r="K12" s="51"/>
      <c r="L12" s="54">
        <f t="shared" ref="L12:L75" si="0">L11+1%</f>
        <v>0.01</v>
      </c>
      <c r="N12" s="50">
        <f ca="1">IF(InterpType="Linear",Linterp($C$23:$C$27,$E$23:$E$27,L12),(cubic_spline($C$23:$C$29,$E$23:$E$29,L12)))</f>
        <v>0.10813827188013911</v>
      </c>
      <c r="O12" s="51"/>
    </row>
    <row r="13" spans="2:15" x14ac:dyDescent="0.25">
      <c r="B13" s="55" t="s">
        <v>2</v>
      </c>
      <c r="C13" s="60">
        <v>5</v>
      </c>
      <c r="E13" s="61">
        <v>0.2505</v>
      </c>
      <c r="F13" s="62">
        <v>0.1187</v>
      </c>
      <c r="G13" s="63">
        <v>0.28999999999999998</v>
      </c>
      <c r="H13" s="64">
        <v>0.38</v>
      </c>
      <c r="I13" s="50"/>
      <c r="J13" s="50"/>
      <c r="K13" s="51"/>
      <c r="L13" s="54">
        <f t="shared" si="0"/>
        <v>0.02</v>
      </c>
      <c r="M13" s="51"/>
      <c r="N13" s="50">
        <f t="shared" ref="N13:N22" ca="1" si="1">IF(InterpType="Linear",Linterp($C$23:$C$27,$E$23:$E$27,L13),(cubic_spline($C$23:$C$29,$E$23:$E$29,L13)))</f>
        <v>0.14327601848933685</v>
      </c>
      <c r="O13" s="51"/>
    </row>
    <row r="14" spans="2:15" x14ac:dyDescent="0.25">
      <c r="B14" s="55" t="s">
        <v>38</v>
      </c>
      <c r="C14" s="65">
        <v>125</v>
      </c>
      <c r="E14" s="55">
        <v>156.30000000000001</v>
      </c>
      <c r="F14" s="66">
        <v>54.5</v>
      </c>
      <c r="G14" s="67">
        <v>168</v>
      </c>
      <c r="H14" s="64">
        <v>0.02</v>
      </c>
      <c r="I14" s="68"/>
      <c r="J14" s="50"/>
      <c r="K14" s="51"/>
      <c r="L14" s="54">
        <f t="shared" si="0"/>
        <v>0.03</v>
      </c>
      <c r="M14" s="51">
        <f ca="1">E23</f>
        <v>0.17961562623983782</v>
      </c>
      <c r="N14" s="50">
        <f t="shared" ca="1" si="1"/>
        <v>0.17961563816447815</v>
      </c>
    </row>
    <row r="15" spans="2:15" x14ac:dyDescent="0.25">
      <c r="B15" s="55" t="s">
        <v>39</v>
      </c>
      <c r="C15" s="56">
        <v>0.05</v>
      </c>
      <c r="E15" s="69">
        <v>84.9</v>
      </c>
      <c r="F15" s="66">
        <v>14.8</v>
      </c>
      <c r="G15" s="67">
        <v>49</v>
      </c>
      <c r="H15" s="64">
        <v>-7.6249999999999998E-2</v>
      </c>
      <c r="I15" s="68"/>
      <c r="J15" s="50"/>
      <c r="L15" s="54">
        <f t="shared" si="0"/>
        <v>0.04</v>
      </c>
      <c r="M15" s="51"/>
      <c r="N15" s="50">
        <f t="shared" ca="1" si="1"/>
        <v>0.2159552577590266</v>
      </c>
    </row>
    <row r="16" spans="2:15" x14ac:dyDescent="0.25">
      <c r="B16" s="55" t="s">
        <v>40</v>
      </c>
      <c r="C16" s="65">
        <v>50</v>
      </c>
      <c r="E16" s="69">
        <v>60.5</v>
      </c>
      <c r="F16" s="66">
        <v>6.8</v>
      </c>
      <c r="G16" s="67">
        <v>25</v>
      </c>
      <c r="H16" s="67">
        <v>160</v>
      </c>
      <c r="I16" s="68"/>
      <c r="J16" s="50"/>
      <c r="L16" s="54">
        <f t="shared" si="0"/>
        <v>0.05</v>
      </c>
      <c r="M16" s="51"/>
      <c r="N16" s="50">
        <f t="shared" ca="1" si="1"/>
        <v>0.25109298922528456</v>
      </c>
    </row>
    <row r="17" spans="1:14" ht="13.8" thickBot="1" x14ac:dyDescent="0.3">
      <c r="B17" s="57" t="s">
        <v>41</v>
      </c>
      <c r="C17" s="70" t="s">
        <v>42</v>
      </c>
      <c r="E17" s="69">
        <v>34.299999999999997</v>
      </c>
      <c r="F17" s="66">
        <v>2.8</v>
      </c>
      <c r="G17" s="67">
        <v>16</v>
      </c>
      <c r="H17" s="67">
        <v>66.5</v>
      </c>
      <c r="I17" s="68"/>
      <c r="J17" s="50"/>
      <c r="L17" s="54">
        <f t="shared" si="0"/>
        <v>6.0000000000000005E-2</v>
      </c>
      <c r="M17" s="51">
        <f ca="1">E24</f>
        <v>0.28382694310174844</v>
      </c>
      <c r="N17" s="50">
        <f t="shared" ca="1" si="1"/>
        <v>0.28382693443418566</v>
      </c>
    </row>
    <row r="18" spans="1:14" ht="13.8" thickBot="1" x14ac:dyDescent="0.3">
      <c r="E18" s="71">
        <v>53</v>
      </c>
      <c r="F18" s="58">
        <v>25</v>
      </c>
      <c r="G18" s="59">
        <v>44</v>
      </c>
      <c r="H18" s="59">
        <v>96</v>
      </c>
      <c r="L18" s="54">
        <f t="shared" si="0"/>
        <v>7.0000000000000007E-2</v>
      </c>
      <c r="N18" s="50">
        <f t="shared" ca="1" si="1"/>
        <v>0.31329996205593752</v>
      </c>
    </row>
    <row r="19" spans="1:14" x14ac:dyDescent="0.25">
      <c r="L19" s="54">
        <f t="shared" si="0"/>
        <v>0.08</v>
      </c>
      <c r="N19" s="50">
        <f t="shared" ca="1" si="1"/>
        <v>0.34003369736835359</v>
      </c>
    </row>
    <row r="20" spans="1:14" x14ac:dyDescent="0.25">
      <c r="L20" s="54">
        <f t="shared" si="0"/>
        <v>0.09</v>
      </c>
      <c r="M20" s="72">
        <f ca="1">E25</f>
        <v>0.3648945615989812</v>
      </c>
      <c r="N20" s="50">
        <f t="shared" ca="1" si="1"/>
        <v>0.36489454656430376</v>
      </c>
    </row>
    <row r="21" spans="1:14" ht="13.8" thickBot="1" x14ac:dyDescent="0.3">
      <c r="B21" s="73" t="s">
        <v>43</v>
      </c>
      <c r="F21" s="74"/>
      <c r="L21" s="54">
        <f t="shared" si="0"/>
        <v>9.9999999999999992E-2</v>
      </c>
      <c r="N21" s="50">
        <f t="shared" ca="1" si="1"/>
        <v>0.38861804173357972</v>
      </c>
    </row>
    <row r="22" spans="1:14" ht="13.8" thickBot="1" x14ac:dyDescent="0.3">
      <c r="B22" s="75" t="s">
        <v>44</v>
      </c>
      <c r="C22" s="76" t="s">
        <v>45</v>
      </c>
      <c r="D22" s="77" t="s">
        <v>46</v>
      </c>
      <c r="E22" s="76" t="s">
        <v>47</v>
      </c>
      <c r="F22" s="77" t="s">
        <v>48</v>
      </c>
      <c r="G22" s="76" t="s">
        <v>49</v>
      </c>
      <c r="H22" s="77" t="s">
        <v>50</v>
      </c>
      <c r="I22" s="76" t="s">
        <v>51</v>
      </c>
      <c r="J22" s="78" t="s">
        <v>52</v>
      </c>
      <c r="L22" s="54">
        <f t="shared" si="0"/>
        <v>0.10999999999999999</v>
      </c>
      <c r="N22" s="50">
        <f t="shared" ca="1" si="1"/>
        <v>0.41141591686559648</v>
      </c>
    </row>
    <row r="23" spans="1:14" x14ac:dyDescent="0.25">
      <c r="B23" s="79">
        <v>0</v>
      </c>
      <c r="C23" s="80">
        <v>0.03</v>
      </c>
      <c r="D23" s="81">
        <f ca="1">OFFSET(E13,0,$H$11-1,1,1)</f>
        <v>0.1187</v>
      </c>
      <c r="E23" s="138">
        <f ca="1">SolveBCPoint(B23,C23,$C$15,$C$11,$C$12,10%,10%,$C$13,$C$14,$C$16,D23,500)</f>
        <v>0.17961562623983782</v>
      </c>
      <c r="F23" s="27">
        <f t="array" aca="1" ref="F23:I23" ca="1">TRANSPOSE(CalcTrancheExpectedLossBC(B23,C23,$C$15,$C$11,$C$12,E23,E23,$C$13,C14,C16))</f>
        <v>0.30142905655558366</v>
      </c>
      <c r="G23" s="82">
        <f ca="1"/>
        <v>3.6545811311116605</v>
      </c>
      <c r="H23" s="83">
        <f ca="1"/>
        <v>8.2479782426910897E-2</v>
      </c>
      <c r="I23" s="84">
        <f ca="1"/>
        <v>0.33864262913364362</v>
      </c>
      <c r="J23" s="85">
        <f ca="1">F23-5%*G23</f>
        <v>0.11870000000000064</v>
      </c>
      <c r="L23" s="54">
        <f t="shared" si="0"/>
        <v>0.11999999999999998</v>
      </c>
      <c r="M23" s="72">
        <f ca="1">E26</f>
        <v>0.43336912568613101</v>
      </c>
      <c r="N23" s="50">
        <f t="shared" ref="N23" ca="1" si="2">IF(InterpType="Linear",Linterp($C$23:$C$27,$E$23:$E$27,L23),(cubic_spline($C$23:$C$29,$E$23:$E$29,L23)))</f>
        <v>0.43336914661944109</v>
      </c>
    </row>
    <row r="24" spans="1:14" x14ac:dyDescent="0.25">
      <c r="B24" s="79">
        <v>0.03</v>
      </c>
      <c r="C24" s="80">
        <f>B25</f>
        <v>0.06</v>
      </c>
      <c r="D24" s="86">
        <f ca="1">OFFSET(E14,0,$H$11-1,1,1)</f>
        <v>54.5</v>
      </c>
      <c r="E24" s="138">
        <f ca="1">SolveBCPoint(B24,C24,$C$15,$C$11,$C$12,E23,E23,$C$13,$C$14,$C$16,0, D24)</f>
        <v>0.28382694310174844</v>
      </c>
      <c r="F24" s="27">
        <f t="array" aca="1" ref="F24:I24" ca="1">TRANSPOSE(CalcTrancheExpectedLossBC(B24,C24,$C$15,$C$11,$C$12,E23,E24,$C$13,$C$14,$C$16))</f>
        <v>2.3797854404200007E-2</v>
      </c>
      <c r="G24" s="82">
        <f ca="1"/>
        <v>4.3665787897615314</v>
      </c>
      <c r="H24" s="83">
        <f ca="1"/>
        <v>5.4499999999999228E-3</v>
      </c>
      <c r="I24" s="84">
        <f ca="1"/>
        <v>2.695115746676352E-2</v>
      </c>
      <c r="J24" s="67">
        <f ca="1">H24*10000</f>
        <v>54.499999999999226</v>
      </c>
      <c r="L24" s="54">
        <f t="shared" si="0"/>
        <v>0.12999999999999998</v>
      </c>
      <c r="N24" s="50">
        <f t="shared" ref="N24" ca="1" si="3">IF(InterpType="Linear",Linterp($C$23:$C$27,$E$23:$E$27,L24),(cubic_spline($C$23:$C$29,$E$23:$E$29,L24)))</f>
        <v>0.45454557104129206</v>
      </c>
    </row>
    <row r="25" spans="1:14" x14ac:dyDescent="0.25">
      <c r="B25" s="79">
        <v>0.06</v>
      </c>
      <c r="C25" s="80">
        <f>B26</f>
        <v>0.09</v>
      </c>
      <c r="D25" s="86">
        <f ca="1">OFFSET(E15,0,$H$11-1,1,1)</f>
        <v>14.8</v>
      </c>
      <c r="E25" s="138">
        <f ca="1">SolveBCPoint(B25,C25,$C$15,$C$11,$C$12,E24,E24,$C$13,$C$14,$C$16,0, D25)</f>
        <v>0.3648945615989812</v>
      </c>
      <c r="F25" s="27">
        <f t="array" aca="1" ref="F25:I25" ca="1">TRANSPOSE(CalcTrancheExpectedLossBC(B25,C25,$C$15,$C$11,$C$12,E24,E25,$C$13,$C$14,$C$16))</f>
        <v>6.5242751799304156E-3</v>
      </c>
      <c r="G25" s="82">
        <f ca="1"/>
        <v>4.408294040493363</v>
      </c>
      <c r="H25" s="83">
        <f ca="1"/>
        <v>1.480000000000054E-3</v>
      </c>
      <c r="I25" s="84">
        <f ca="1"/>
        <v>7.3918296967513258E-3</v>
      </c>
      <c r="J25" s="67">
        <f ca="1">H25*10000</f>
        <v>14.800000000000539</v>
      </c>
      <c r="L25" s="54">
        <f t="shared" si="0"/>
        <v>0.13999999999999999</v>
      </c>
      <c r="N25" s="50">
        <f t="shared" ref="N25" ca="1" si="4">IF(InterpType="Linear",Linterp($C$23:$C$27,$E$23:$E$27,L25),(cubic_spline($C$23:$C$29,$E$23:$E$29,L25)))</f>
        <v>0.47496101958669074</v>
      </c>
    </row>
    <row r="26" spans="1:14" x14ac:dyDescent="0.25">
      <c r="B26" s="79">
        <v>0.09</v>
      </c>
      <c r="C26" s="80">
        <f>B27</f>
        <v>0.12</v>
      </c>
      <c r="D26" s="86">
        <f ca="1">OFFSET(E16,0,$H$11-1,1,1)</f>
        <v>6.8</v>
      </c>
      <c r="E26" s="138">
        <f t="shared" ref="E26" ca="1" si="5">SolveBCPoint(B26,C26,$C$15,$C$11,$C$12,E25,E25,$C$13,$C$14,$C$16,0, D26)</f>
        <v>0.43336912568613101</v>
      </c>
      <c r="F26" s="27">
        <f t="array" aca="1" ref="F26:I26" ca="1">TRANSPOSE(CalcTrancheExpectedLossBC(B26,C26,$C$15,$C$11,$C$12,E25,E26,$C$13,$C$14,$C$16))</f>
        <v>3.0034007789058541E-3</v>
      </c>
      <c r="G26" s="82">
        <f ca="1"/>
        <v>4.4167658513325723</v>
      </c>
      <c r="H26" s="83">
        <f ca="1"/>
        <v>6.7999999999993315E-4</v>
      </c>
      <c r="I26" s="84">
        <f ca="1"/>
        <v>3.4030572599260261E-3</v>
      </c>
      <c r="J26" s="87">
        <f ca="1">H26*10000</f>
        <v>6.7999999999993319</v>
      </c>
      <c r="L26" s="54">
        <f t="shared" si="0"/>
        <v>0.15</v>
      </c>
      <c r="N26" s="50">
        <f t="shared" ref="N26" ca="1" si="6">IF(InterpType="Linear",Linterp($C$23:$C$27,$E$23:$E$27,L26),(cubic_spline($C$23:$C$29,$E$23:$E$29,L26)))</f>
        <v>0.4946183076566133</v>
      </c>
    </row>
    <row r="27" spans="1:14" ht="13.8" thickBot="1" x14ac:dyDescent="0.3">
      <c r="B27" s="88">
        <v>0.12</v>
      </c>
      <c r="C27" s="89">
        <v>0.22</v>
      </c>
      <c r="D27" s="90">
        <f ca="1">OFFSET(E17,0,$H$11-1,1,1)</f>
        <v>2.8</v>
      </c>
      <c r="E27" s="139">
        <f t="shared" ref="E27" ca="1" si="7">SolveBCPoint(B27,C27,$C$15,$C$11,$C$12,E26,E26,$C$13,$C$14,$C$16,0, D27)</f>
        <v>0.6112239194672312</v>
      </c>
      <c r="F27" s="91">
        <f t="array" aca="1" ref="F27:I27" ca="1">TRANSPOSE(CalcTrancheExpectedLossBC(B27,C27,$C$15,$C$11,$C$12,E26,E27,$C$13,$C$14,$C$16))</f>
        <v>1.2378828211865437E-3</v>
      </c>
      <c r="G27" s="92">
        <f ca="1"/>
        <v>4.4210100756658379</v>
      </c>
      <c r="H27" s="93">
        <f ca="1"/>
        <v>2.800000000000247E-4</v>
      </c>
      <c r="I27" s="94">
        <f ca="1"/>
        <v>1.4026639856530858E-3</v>
      </c>
      <c r="J27" s="95">
        <f ca="1">H27*10000</f>
        <v>2.8000000000002467</v>
      </c>
      <c r="L27" s="54">
        <f t="shared" si="0"/>
        <v>0.16</v>
      </c>
      <c r="N27" s="50">
        <f t="shared" ref="N27:N31" ca="1" si="8">IF(InterpType="Linear",Linterp($C$23:$C$27,$E$23:$E$27,L27),(cubic_spline($C$23:$C$29,$E$23:$E$29,L27)))</f>
        <v>0.51352016261078015</v>
      </c>
    </row>
    <row r="28" spans="1:14" x14ac:dyDescent="0.25">
      <c r="C28" s="74">
        <v>0.6</v>
      </c>
      <c r="E28" s="54">
        <v>0.8</v>
      </c>
      <c r="L28" s="54">
        <f t="shared" si="0"/>
        <v>0.17</v>
      </c>
      <c r="N28" s="50">
        <f t="shared" ca="1" si="8"/>
        <v>0.53166942940590334</v>
      </c>
    </row>
    <row r="29" spans="1:14" x14ac:dyDescent="0.25">
      <c r="A29" s="72"/>
      <c r="C29" s="74">
        <v>1</v>
      </c>
      <c r="E29" s="54">
        <v>0.85</v>
      </c>
      <c r="L29" s="54">
        <f t="shared" si="0"/>
        <v>0.18000000000000002</v>
      </c>
      <c r="N29" s="50">
        <f t="shared" ca="1" si="8"/>
        <v>0.54906884940377065</v>
      </c>
    </row>
    <row r="30" spans="1:14" ht="13.8" thickBot="1" x14ac:dyDescent="0.3">
      <c r="A30" s="72"/>
      <c r="B30" s="73" t="s">
        <v>53</v>
      </c>
      <c r="L30" s="54">
        <f t="shared" si="0"/>
        <v>0.19000000000000003</v>
      </c>
      <c r="N30" s="50">
        <f t="shared" ca="1" si="8"/>
        <v>0.56572122339251429</v>
      </c>
    </row>
    <row r="31" spans="1:14" ht="13.8" thickBot="1" x14ac:dyDescent="0.3">
      <c r="A31" s="72"/>
      <c r="B31" s="75" t="s">
        <v>44</v>
      </c>
      <c r="C31" s="76" t="s">
        <v>45</v>
      </c>
      <c r="D31" s="77" t="s">
        <v>54</v>
      </c>
      <c r="E31" s="76" t="s">
        <v>55</v>
      </c>
      <c r="F31" s="77" t="s">
        <v>48</v>
      </c>
      <c r="G31" s="76" t="s">
        <v>49</v>
      </c>
      <c r="H31" s="77" t="s">
        <v>50</v>
      </c>
      <c r="I31" s="76" t="s">
        <v>51</v>
      </c>
      <c r="J31" s="78" t="s">
        <v>56</v>
      </c>
      <c r="L31" s="54">
        <f t="shared" si="0"/>
        <v>0.20000000000000004</v>
      </c>
      <c r="M31" s="96"/>
      <c r="N31" s="50">
        <f t="shared" ca="1" si="8"/>
        <v>0.58162934470968497</v>
      </c>
    </row>
    <row r="32" spans="1:14" x14ac:dyDescent="0.25">
      <c r="A32" s="72"/>
      <c r="B32" s="97">
        <v>0</v>
      </c>
      <c r="C32" s="98">
        <v>0.03</v>
      </c>
      <c r="D32" s="99">
        <f ca="1">IF(InterpType="Linear",Linterp($C$23:$C$27,$E$23:$E$27,B32),(cubic_spline($C$23:$C$29,$E$23:$E$29,B32)))</f>
        <v>7.5404316186904907E-2</v>
      </c>
      <c r="E32" s="99">
        <f t="shared" ref="E32" ca="1" si="9">IF(InterpType="Linear",Linterp($C$23:$C$27,$E$23:$E$27,C32),(cubic_spline($C$23:$C$29,$E$23:$E$29,C32)))</f>
        <v>0.17961563816447815</v>
      </c>
      <c r="F32" s="100">
        <f t="array" aca="1" ref="F32:I32" ca="1">TRANSPOSE(CalcTrancheExpectedLossBC(B32,C32,$C$15,$C$11,$C$12,D32,E32,$C$13,$C$14,$C$16))</f>
        <v>0.30142905187401958</v>
      </c>
      <c r="G32" s="101">
        <f ca="1"/>
        <v>3.6545811439128335</v>
      </c>
      <c r="H32" s="102">
        <f ca="1"/>
        <v>8.2479780856990342E-2</v>
      </c>
      <c r="I32" s="103">
        <f ca="1"/>
        <v>0.33864262392915467</v>
      </c>
      <c r="J32" s="104">
        <f ca="1">H32*10000</f>
        <v>824.7978085699034</v>
      </c>
      <c r="L32" s="54">
        <f t="shared" si="0"/>
        <v>0.21000000000000005</v>
      </c>
      <c r="M32" s="72"/>
      <c r="N32" s="50">
        <f t="shared" ref="N32" ca="1" si="10">IF(InterpType="Linear",Linterp($C$23:$C$27,$E$23:$E$27,L32),(cubic_spline($C$23:$C$29,$E$23:$E$29,L32)))</f>
        <v>0.59679598424909663</v>
      </c>
    </row>
    <row r="33" spans="1:14" x14ac:dyDescent="0.25">
      <c r="A33" s="72"/>
      <c r="B33" s="105">
        <v>0.03</v>
      </c>
      <c r="C33" s="106">
        <v>0.06</v>
      </c>
      <c r="D33" s="107">
        <f t="shared" ref="D33:E33" ca="1" si="11">IF(InterpType="Linear",Linterp($C$23:$C$27,$E$23:$E$27,B33),(cubic_spline($C$23:$C$29,$E$23:$E$29,B33)))</f>
        <v>0.17961563816447815</v>
      </c>
      <c r="E33" s="107">
        <f t="shared" ca="1" si="11"/>
        <v>0.28382693443418555</v>
      </c>
      <c r="F33" s="27">
        <f t="array" aca="1" ref="F33:I33" ca="1">TRANSPOSE(CalcTrancheExpectedLossBC(B33,C33,$C$15,$C$11,$C$12,D33,E33,$C$13,$C$14,$C$16))</f>
        <v>2.3797861388291652E-2</v>
      </c>
      <c r="G33" s="82">
        <f ca="1"/>
        <v>4.3665787728434653</v>
      </c>
      <c r="H33" s="83">
        <f ca="1"/>
        <v>5.4500016205581382E-3</v>
      </c>
      <c r="I33" s="84">
        <f ca="1"/>
        <v>2.6951165371711661E-2</v>
      </c>
      <c r="J33" s="87">
        <f ca="1">H33*10000</f>
        <v>54.500016205581382</v>
      </c>
      <c r="L33" s="54">
        <f t="shared" si="0"/>
        <v>0.22000000000000006</v>
      </c>
      <c r="M33" s="54">
        <f ca="1">E27</f>
        <v>0.6112239194672312</v>
      </c>
      <c r="N33" s="50">
        <f t="shared" ref="N33" ca="1" si="12">IF(InterpType="Linear",Linterp($C$23:$C$27,$E$23:$E$27,L33),(cubic_spline($C$23:$C$29,$E$23:$E$29,L33)))</f>
        <v>0.6112239385632211</v>
      </c>
    </row>
    <row r="34" spans="1:14" x14ac:dyDescent="0.25">
      <c r="A34" s="72"/>
      <c r="B34" s="105">
        <v>0.06</v>
      </c>
      <c r="C34" s="106">
        <v>0.09</v>
      </c>
      <c r="D34" s="107">
        <f t="shared" ref="D34:E34" ca="1" si="13">IF(InterpType="Linear",Linterp($C$23:$C$27,$E$23:$E$27,B34),(cubic_spline($C$23:$C$29,$E$23:$E$29,B34)))</f>
        <v>0.28382693443418555</v>
      </c>
      <c r="E34" s="107">
        <f t="shared" ca="1" si="13"/>
        <v>0.36489454656430376</v>
      </c>
      <c r="F34" s="27">
        <f t="array" aca="1" ref="F34:I34" ca="1">TRANSPOSE(CalcTrancheExpectedLossBC(B34,C34,$C$15,$C$11,$C$12,D34,E34,$C$13,$C$14,$C$16))</f>
        <v>6.5242762540316116E-3</v>
      </c>
      <c r="G34" s="82">
        <f ca="1"/>
        <v>4.4082940379073099</v>
      </c>
      <c r="H34" s="83">
        <f ca="1"/>
        <v>1.4800002445228889E-3</v>
      </c>
      <c r="I34" s="84">
        <f ca="1"/>
        <v>7.3918309134905352E-3</v>
      </c>
      <c r="J34" s="87">
        <f ca="1">H34*10000</f>
        <v>14.800002445228889</v>
      </c>
      <c r="L34" s="54">
        <f t="shared" si="0"/>
        <v>0.23000000000000007</v>
      </c>
      <c r="M34" s="108"/>
      <c r="N34" s="50">
        <f t="shared" ref="N34" ca="1" si="14">IF(InterpType="Linear",Linterp($C$23:$C$27,$E$23:$E$27,L34),(cubic_spline($C$23:$C$29,$E$23:$E$29,L34)))</f>
        <v>0.62491890629721525</v>
      </c>
    </row>
    <row r="35" spans="1:14" x14ac:dyDescent="0.25">
      <c r="A35" s="72"/>
      <c r="B35" s="105">
        <v>0.09</v>
      </c>
      <c r="C35" s="106">
        <v>0.12</v>
      </c>
      <c r="D35" s="107">
        <f t="shared" ref="D35:E35" ca="1" si="15">IF(InterpType="Linear",Linterp($C$23:$C$27,$E$23:$E$27,B35),(cubic_spline($C$23:$C$29,$E$23:$E$29,B35)))</f>
        <v>0.36489454656430376</v>
      </c>
      <c r="E35" s="107">
        <f t="shared" ca="1" si="15"/>
        <v>0.4333691466194412</v>
      </c>
      <c r="F35" s="27">
        <f t="array" aca="1" ref="F35:I35" ca="1">TRANSPOSE(CalcTrancheExpectedLossBC(B35,C35,$C$15,$C$11,$C$12,D35,E35,$C$13,$C$14,$C$16))</f>
        <v>3.0033928840352683E-3</v>
      </c>
      <c r="G35" s="82">
        <f ca="1"/>
        <v>4.4167658703173034</v>
      </c>
      <c r="H35" s="83">
        <f ca="1"/>
        <v>6.7999820959934712E-4</v>
      </c>
      <c r="I35" s="84">
        <f ca="1"/>
        <v>3.4030483151372831E-3</v>
      </c>
      <c r="J35" s="87">
        <f ca="1">H35*10000</f>
        <v>6.7999820959934709</v>
      </c>
      <c r="L35" s="54">
        <f t="shared" si="0"/>
        <v>0.24000000000000007</v>
      </c>
      <c r="N35" s="50">
        <f t="shared" ref="N35" ca="1" si="16">IF(InterpType="Linear",Linterp($C$23:$C$27,$E$23:$E$27,L35),(cubic_spline($C$23:$C$29,$E$23:$E$29,L35)))</f>
        <v>0.63789833244218874</v>
      </c>
    </row>
    <row r="36" spans="1:14" ht="13.8" thickBot="1" x14ac:dyDescent="0.3">
      <c r="A36" s="72"/>
      <c r="B36" s="109">
        <v>0.12</v>
      </c>
      <c r="C36" s="110">
        <v>0.22</v>
      </c>
      <c r="D36" s="111">
        <f t="shared" ref="D36:E36" ca="1" si="17">IF(InterpType="Linear",Linterp($C$23:$C$27,$E$23:$E$27,B36),(cubic_spline($C$23:$C$29,$E$23:$E$29,B36)))</f>
        <v>0.4333691466194412</v>
      </c>
      <c r="E36" s="111">
        <f t="shared" ca="1" si="17"/>
        <v>0.61122393856322099</v>
      </c>
      <c r="F36" s="91">
        <f t="array" aca="1" ref="F36:I36" ca="1">TRANSPOSE(CalcTrancheExpectedLossBC(B36,C36,$C$15,$C$11,$C$12,D36,E36,$C$13,$C$14,$C$16))</f>
        <v>1.237883284503133E-3</v>
      </c>
      <c r="G36" s="92">
        <f ca="1"/>
        <v>4.4210100745523881</v>
      </c>
      <c r="H36" s="93">
        <f ca="1"/>
        <v>2.800001048693526E-4</v>
      </c>
      <c r="I36" s="94">
        <f ca="1"/>
        <v>1.4026645106288362E-3</v>
      </c>
      <c r="J36" s="95">
        <f ca="1">H36*10000</f>
        <v>2.8000010486935261</v>
      </c>
      <c r="K36" s="54"/>
      <c r="L36" s="54">
        <f t="shared" si="0"/>
        <v>0.25000000000000006</v>
      </c>
      <c r="M36" s="108"/>
      <c r="N36" s="50">
        <f t="shared" ref="N36:N42" ca="1" si="18">IF(InterpType="Linear",Linterp($C$23:$C$27,$E$23:$E$27,L36),(cubic_spline($C$23:$C$29,$E$23:$E$29,L36)))</f>
        <v>0.6501824553552058</v>
      </c>
    </row>
    <row r="37" spans="1:14" x14ac:dyDescent="0.25">
      <c r="A37" s="72"/>
      <c r="B37" s="74"/>
      <c r="C37" s="72"/>
      <c r="D37" s="19"/>
      <c r="E37" s="19"/>
      <c r="I37" s="112"/>
      <c r="J37" s="108"/>
      <c r="L37" s="54">
        <f t="shared" si="0"/>
        <v>0.26000000000000006</v>
      </c>
      <c r="M37" s="108"/>
      <c r="N37" s="50">
        <f t="shared" ca="1" si="18"/>
        <v>0.66179157584362591</v>
      </c>
    </row>
    <row r="38" spans="1:14" x14ac:dyDescent="0.25">
      <c r="A38" s="72"/>
      <c r="B38" s="74"/>
      <c r="C38" s="72"/>
      <c r="D38" s="19"/>
      <c r="E38" s="19"/>
      <c r="I38" s="112"/>
      <c r="J38" s="108"/>
      <c r="L38" s="54">
        <f t="shared" si="0"/>
        <v>0.27000000000000007</v>
      </c>
      <c r="M38" s="108"/>
      <c r="N38" s="50">
        <f t="shared" ca="1" si="18"/>
        <v>0.67274617966959327</v>
      </c>
    </row>
    <row r="39" spans="1:14" x14ac:dyDescent="0.25">
      <c r="A39" s="72"/>
      <c r="B39" s="74"/>
      <c r="C39" s="72"/>
      <c r="D39" s="19"/>
      <c r="E39" s="19"/>
      <c r="I39" s="112"/>
      <c r="J39" s="108"/>
      <c r="L39" s="54">
        <f t="shared" si="0"/>
        <v>0.28000000000000008</v>
      </c>
      <c r="M39" s="108"/>
      <c r="N39" s="50">
        <f t="shared" ca="1" si="18"/>
        <v>0.68306643637425346</v>
      </c>
    </row>
    <row r="40" spans="1:14" x14ac:dyDescent="0.25">
      <c r="A40" s="72"/>
      <c r="B40" s="74"/>
      <c r="C40" s="72"/>
      <c r="D40" s="19"/>
      <c r="I40" s="112"/>
      <c r="J40" s="108"/>
      <c r="L40" s="54">
        <f t="shared" si="0"/>
        <v>0.29000000000000009</v>
      </c>
      <c r="M40" s="108"/>
      <c r="N40" s="50">
        <f t="shared" ca="1" si="18"/>
        <v>0.69277271104104254</v>
      </c>
    </row>
    <row r="41" spans="1:14" x14ac:dyDescent="0.25">
      <c r="A41" s="72"/>
      <c r="B41" s="74"/>
      <c r="C41" s="72"/>
      <c r="D41" s="19"/>
      <c r="I41" s="112"/>
      <c r="J41" s="108"/>
      <c r="L41" s="54">
        <f t="shared" si="0"/>
        <v>0.3000000000000001</v>
      </c>
      <c r="M41" s="108"/>
      <c r="N41" s="50">
        <f t="shared" ca="1" si="18"/>
        <v>0.70188534456556606</v>
      </c>
    </row>
    <row r="42" spans="1:14" x14ac:dyDescent="0.25">
      <c r="A42" s="72"/>
      <c r="B42" s="74"/>
      <c r="C42" s="72"/>
      <c r="D42" s="19"/>
      <c r="I42" s="112"/>
      <c r="J42" s="108"/>
      <c r="L42" s="54">
        <f t="shared" si="0"/>
        <v>0.31000000000000011</v>
      </c>
      <c r="M42" s="108"/>
      <c r="N42" s="50">
        <f t="shared" ca="1" si="18"/>
        <v>0.71042461727652317</v>
      </c>
    </row>
    <row r="43" spans="1:14" x14ac:dyDescent="0.25">
      <c r="A43" s="72"/>
      <c r="B43" s="74"/>
      <c r="C43" s="72"/>
      <c r="D43" s="19"/>
      <c r="I43" s="112"/>
      <c r="J43" s="108"/>
      <c r="L43" s="54">
        <f t="shared" si="0"/>
        <v>0.32000000000000012</v>
      </c>
      <c r="M43" s="108"/>
      <c r="N43" s="50">
        <f t="shared" ref="N43:N74" ca="1" si="19">IF(InterpType="Linear",Linterp($C$23:$C$27,$E$23:$E$27,L43),(cubic_spline($C$23:$C$29,$E$23:$E$29,L43)))</f>
        <v>0.71841086873169013</v>
      </c>
    </row>
    <row r="44" spans="1:14" x14ac:dyDescent="0.25">
      <c r="A44" s="72"/>
      <c r="B44" s="74"/>
      <c r="C44" s="72"/>
      <c r="D44" s="19"/>
      <c r="I44" s="112"/>
      <c r="J44" s="108"/>
      <c r="L44" s="54">
        <f t="shared" si="0"/>
        <v>0.33000000000000013</v>
      </c>
      <c r="M44" s="108"/>
      <c r="N44" s="50">
        <f t="shared" ca="1" si="19"/>
        <v>0.72586444357697677</v>
      </c>
    </row>
    <row r="45" spans="1:14" x14ac:dyDescent="0.25">
      <c r="A45" s="72"/>
      <c r="B45" s="74"/>
      <c r="C45" s="72"/>
      <c r="D45" s="19"/>
      <c r="I45" s="112"/>
      <c r="J45" s="108"/>
      <c r="L45" s="54">
        <f t="shared" si="0"/>
        <v>0.34000000000000014</v>
      </c>
      <c r="M45" s="108"/>
      <c r="N45" s="50">
        <f t="shared" ca="1" si="19"/>
        <v>0.73280561450888415</v>
      </c>
    </row>
    <row r="46" spans="1:14" x14ac:dyDescent="0.25">
      <c r="A46" s="72"/>
      <c r="B46" s="74"/>
      <c r="C46" s="72"/>
      <c r="D46" s="19"/>
      <c r="I46" s="112"/>
      <c r="J46" s="108"/>
      <c r="L46" s="54">
        <f t="shared" si="0"/>
        <v>0.35000000000000014</v>
      </c>
      <c r="M46" s="108"/>
      <c r="N46" s="50">
        <f t="shared" ca="1" si="19"/>
        <v>0.73925472496708267</v>
      </c>
    </row>
    <row r="47" spans="1:14" x14ac:dyDescent="0.25">
      <c r="C47" s="50"/>
      <c r="D47" s="50"/>
      <c r="E47" s="50"/>
      <c r="F47" s="50"/>
      <c r="G47" s="50"/>
      <c r="L47" s="54">
        <f t="shared" si="0"/>
        <v>0.36000000000000015</v>
      </c>
      <c r="M47" s="108"/>
      <c r="N47" s="50">
        <f t="shared" ca="1" si="19"/>
        <v>0.74523212295301733</v>
      </c>
    </row>
    <row r="48" spans="1:14" x14ac:dyDescent="0.25">
      <c r="C48" s="72"/>
      <c r="D48" s="19"/>
      <c r="E48" s="50"/>
      <c r="F48" s="50"/>
      <c r="G48" s="50"/>
      <c r="L48" s="54">
        <f t="shared" si="0"/>
        <v>0.37000000000000016</v>
      </c>
      <c r="M48" s="108"/>
      <c r="N48" s="50">
        <f t="shared" ca="1" si="19"/>
        <v>0.75075807432052866</v>
      </c>
    </row>
    <row r="49" spans="3:14" x14ac:dyDescent="0.25">
      <c r="C49" s="72"/>
      <c r="D49" s="19"/>
      <c r="E49" s="50"/>
      <c r="F49" s="50"/>
      <c r="G49" s="50"/>
      <c r="L49" s="54">
        <f t="shared" si="0"/>
        <v>0.38000000000000017</v>
      </c>
      <c r="M49" s="108"/>
      <c r="N49" s="50">
        <f t="shared" ca="1" si="19"/>
        <v>0.75585292599641229</v>
      </c>
    </row>
    <row r="50" spans="3:14" x14ac:dyDescent="0.25">
      <c r="C50" s="72"/>
      <c r="D50" s="19"/>
      <c r="L50" s="54">
        <f t="shared" si="0"/>
        <v>0.39000000000000018</v>
      </c>
      <c r="M50" s="108"/>
      <c r="N50" s="50">
        <f t="shared" ca="1" si="19"/>
        <v>0.76053702894287978</v>
      </c>
    </row>
    <row r="51" spans="3:14" x14ac:dyDescent="0.25">
      <c r="C51" s="72"/>
      <c r="D51" s="19"/>
      <c r="L51" s="54">
        <f t="shared" si="0"/>
        <v>0.40000000000000019</v>
      </c>
      <c r="N51" s="50">
        <f t="shared" ca="1" si="19"/>
        <v>0.76483064296064862</v>
      </c>
    </row>
    <row r="52" spans="3:14" x14ac:dyDescent="0.25">
      <c r="C52" s="72"/>
      <c r="D52" s="19"/>
      <c r="L52" s="54">
        <f t="shared" si="0"/>
        <v>0.4100000000000002</v>
      </c>
      <c r="N52" s="50">
        <f t="shared" ca="1" si="19"/>
        <v>0.76875411806887084</v>
      </c>
    </row>
    <row r="53" spans="3:14" x14ac:dyDescent="0.25">
      <c r="C53" s="72"/>
      <c r="D53" s="19"/>
      <c r="L53" s="54">
        <f t="shared" si="0"/>
        <v>0.42000000000000021</v>
      </c>
      <c r="N53" s="50">
        <f t="shared" ca="1" si="19"/>
        <v>0.77232780779575594</v>
      </c>
    </row>
    <row r="54" spans="3:14" x14ac:dyDescent="0.25">
      <c r="C54" s="72"/>
      <c r="D54" s="19"/>
      <c r="L54" s="54">
        <f t="shared" si="0"/>
        <v>0.43000000000000022</v>
      </c>
      <c r="N54" s="50">
        <f t="shared" ca="1" si="19"/>
        <v>0.77557196667843598</v>
      </c>
    </row>
    <row r="55" spans="3:14" x14ac:dyDescent="0.25">
      <c r="C55" s="72"/>
      <c r="D55" s="19"/>
      <c r="L55" s="54">
        <f t="shared" si="0"/>
        <v>0.44000000000000022</v>
      </c>
      <c r="N55" s="50">
        <f t="shared" ca="1" si="19"/>
        <v>0.77850697970693339</v>
      </c>
    </row>
    <row r="56" spans="3:14" x14ac:dyDescent="0.25">
      <c r="C56" s="72"/>
      <c r="D56" s="19"/>
      <c r="L56" s="54">
        <f t="shared" si="0"/>
        <v>0.45000000000000023</v>
      </c>
      <c r="N56" s="50">
        <f t="shared" ca="1" si="19"/>
        <v>0.78115310576083774</v>
      </c>
    </row>
    <row r="57" spans="3:14" x14ac:dyDescent="0.25">
      <c r="C57" s="72"/>
      <c r="D57" s="19"/>
      <c r="L57" s="54">
        <f t="shared" si="0"/>
        <v>0.46000000000000024</v>
      </c>
      <c r="N57" s="50">
        <f t="shared" ca="1" si="19"/>
        <v>0.78353069172308254</v>
      </c>
    </row>
    <row r="58" spans="3:14" x14ac:dyDescent="0.25">
      <c r="C58" s="72"/>
      <c r="D58" s="19"/>
      <c r="L58" s="54">
        <f t="shared" si="0"/>
        <v>0.47000000000000025</v>
      </c>
      <c r="N58" s="50">
        <f t="shared" ca="1" si="19"/>
        <v>0.78566007866608956</v>
      </c>
    </row>
    <row r="59" spans="3:14" x14ac:dyDescent="0.25">
      <c r="C59" s="72"/>
      <c r="D59" s="19"/>
      <c r="L59" s="54">
        <f t="shared" si="0"/>
        <v>0.48000000000000026</v>
      </c>
      <c r="N59" s="50">
        <f t="shared" ca="1" si="19"/>
        <v>0.78756156908731711</v>
      </c>
    </row>
    <row r="60" spans="3:14" x14ac:dyDescent="0.25">
      <c r="C60" s="72"/>
      <c r="D60" s="19"/>
      <c r="L60" s="54">
        <f t="shared" si="0"/>
        <v>0.49000000000000027</v>
      </c>
      <c r="N60" s="50">
        <f t="shared" ca="1" si="19"/>
        <v>0.78925548319628536</v>
      </c>
    </row>
    <row r="61" spans="3:14" x14ac:dyDescent="0.25">
      <c r="C61" s="72"/>
      <c r="D61" s="19"/>
      <c r="L61" s="54">
        <f t="shared" si="0"/>
        <v>0.50000000000000022</v>
      </c>
      <c r="N61" s="50">
        <f t="shared" ca="1" si="19"/>
        <v>0.79076212211972707</v>
      </c>
    </row>
    <row r="62" spans="3:14" x14ac:dyDescent="0.25">
      <c r="C62" s="72"/>
      <c r="D62" s="19"/>
      <c r="L62" s="54">
        <f t="shared" si="0"/>
        <v>0.51000000000000023</v>
      </c>
      <c r="N62" s="50">
        <f t="shared" ca="1" si="19"/>
        <v>0.7921018440243861</v>
      </c>
    </row>
    <row r="63" spans="3:14" x14ac:dyDescent="0.25">
      <c r="C63" s="72"/>
      <c r="D63" s="19"/>
      <c r="L63" s="54">
        <f t="shared" si="0"/>
        <v>0.52000000000000024</v>
      </c>
      <c r="N63" s="50">
        <f t="shared" ca="1" si="19"/>
        <v>0.79329494797907973</v>
      </c>
    </row>
    <row r="64" spans="3:14" x14ac:dyDescent="0.25">
      <c r="C64" s="72"/>
      <c r="D64" s="19"/>
      <c r="L64" s="54">
        <f t="shared" si="0"/>
        <v>0.53000000000000025</v>
      </c>
      <c r="N64" s="50">
        <f t="shared" ca="1" si="19"/>
        <v>0.79436175868747916</v>
      </c>
    </row>
    <row r="65" spans="3:14" x14ac:dyDescent="0.25">
      <c r="C65" s="72"/>
      <c r="D65" s="19"/>
      <c r="L65" s="54">
        <f t="shared" si="0"/>
        <v>0.54000000000000026</v>
      </c>
      <c r="N65" s="50">
        <f t="shared" ca="1" si="19"/>
        <v>0.79532258427181712</v>
      </c>
    </row>
    <row r="66" spans="3:14" x14ac:dyDescent="0.25">
      <c r="L66" s="54">
        <f t="shared" si="0"/>
        <v>0.55000000000000027</v>
      </c>
      <c r="N66" s="50">
        <f t="shared" ca="1" si="19"/>
        <v>0.79619775471328902</v>
      </c>
    </row>
    <row r="67" spans="3:14" x14ac:dyDescent="0.25">
      <c r="L67" s="54">
        <f t="shared" si="0"/>
        <v>0.56000000000000028</v>
      </c>
      <c r="N67" s="50">
        <f t="shared" ca="1" si="19"/>
        <v>0.79700759153000045</v>
      </c>
    </row>
    <row r="68" spans="3:14" x14ac:dyDescent="0.25">
      <c r="L68" s="54">
        <f t="shared" si="0"/>
        <v>0.57000000000000028</v>
      </c>
      <c r="N68" s="50">
        <f t="shared" ca="1" si="19"/>
        <v>0.79777242117764124</v>
      </c>
    </row>
    <row r="69" spans="3:14" x14ac:dyDescent="0.25">
      <c r="L69" s="54">
        <f t="shared" si="0"/>
        <v>0.58000000000000029</v>
      </c>
      <c r="N69" s="50">
        <f t="shared" ca="1" si="19"/>
        <v>0.79851255270630939</v>
      </c>
    </row>
    <row r="70" spans="3:14" x14ac:dyDescent="0.25">
      <c r="L70" s="54">
        <f t="shared" si="0"/>
        <v>0.5900000000000003</v>
      </c>
      <c r="N70" s="50">
        <f t="shared" ca="1" si="19"/>
        <v>0.7992483078754159</v>
      </c>
    </row>
    <row r="71" spans="3:14" x14ac:dyDescent="0.25">
      <c r="L71" s="54">
        <f t="shared" si="0"/>
        <v>0.60000000000000031</v>
      </c>
      <c r="N71" s="50">
        <f t="shared" ca="1" si="19"/>
        <v>0.80000008277201839</v>
      </c>
    </row>
    <row r="72" spans="3:14" x14ac:dyDescent="0.25">
      <c r="L72" s="54">
        <f t="shared" si="0"/>
        <v>0.61000000000000032</v>
      </c>
      <c r="N72" s="50">
        <f t="shared" ca="1" si="19"/>
        <v>0.80078447426133081</v>
      </c>
    </row>
    <row r="73" spans="3:14" x14ac:dyDescent="0.25">
      <c r="L73" s="54">
        <f t="shared" si="0"/>
        <v>0.62000000000000033</v>
      </c>
      <c r="N73" s="50">
        <f t="shared" ca="1" si="19"/>
        <v>0.8016042255280682</v>
      </c>
    </row>
    <row r="74" spans="3:14" x14ac:dyDescent="0.25">
      <c r="L74" s="54">
        <f t="shared" si="0"/>
        <v>0.63000000000000034</v>
      </c>
      <c r="N74" s="50">
        <f t="shared" ca="1" si="19"/>
        <v>0.80245849041790229</v>
      </c>
    </row>
    <row r="75" spans="3:14" x14ac:dyDescent="0.25">
      <c r="L75" s="54">
        <f t="shared" si="0"/>
        <v>0.64000000000000035</v>
      </c>
      <c r="N75" s="50">
        <f t="shared" ref="N75:N111" ca="1" si="20">IF(InterpType="Linear",Linterp($C$23:$C$27,$E$23:$E$27,L75),(cubic_spline($C$23:$C$29,$E$23:$E$29,L75)))</f>
        <v>0.80334624117405251</v>
      </c>
    </row>
    <row r="76" spans="3:14" x14ac:dyDescent="0.25">
      <c r="L76" s="54">
        <f t="shared" ref="L76:L111" si="21">L75+1%</f>
        <v>0.65000000000000036</v>
      </c>
      <c r="N76" s="50">
        <f t="shared" ca="1" si="20"/>
        <v>0.80426669207546475</v>
      </c>
    </row>
    <row r="77" spans="3:14" x14ac:dyDescent="0.25">
      <c r="L77" s="54">
        <f t="shared" si="21"/>
        <v>0.66000000000000036</v>
      </c>
      <c r="N77" s="50">
        <f t="shared" ca="1" si="20"/>
        <v>0.8052188156809581</v>
      </c>
    </row>
    <row r="78" spans="3:14" x14ac:dyDescent="0.25">
      <c r="L78" s="54">
        <f t="shared" si="21"/>
        <v>0.67000000000000037</v>
      </c>
      <c r="N78" s="50">
        <f t="shared" ca="1" si="20"/>
        <v>0.80620182596252576</v>
      </c>
    </row>
    <row r="79" spans="3:14" x14ac:dyDescent="0.25">
      <c r="L79" s="54">
        <f t="shared" si="21"/>
        <v>0.68000000000000038</v>
      </c>
      <c r="N79" s="50">
        <f t="shared" ca="1" si="20"/>
        <v>0.80721475591226066</v>
      </c>
    </row>
    <row r="80" spans="3:14" x14ac:dyDescent="0.25">
      <c r="L80" s="54">
        <f t="shared" si="21"/>
        <v>0.69000000000000039</v>
      </c>
      <c r="N80" s="50">
        <f t="shared" ca="1" si="20"/>
        <v>0.80825669841223757</v>
      </c>
    </row>
    <row r="81" spans="12:14" x14ac:dyDescent="0.25">
      <c r="L81" s="54">
        <f t="shared" si="21"/>
        <v>0.7000000000000004</v>
      </c>
      <c r="N81" s="50">
        <f t="shared" ca="1" si="20"/>
        <v>0.80932674779715508</v>
      </c>
    </row>
    <row r="82" spans="12:14" x14ac:dyDescent="0.25">
      <c r="L82" s="54">
        <f t="shared" si="21"/>
        <v>0.71000000000000041</v>
      </c>
      <c r="N82" s="50">
        <f t="shared" ca="1" si="20"/>
        <v>0.81042393694381865</v>
      </c>
    </row>
    <row r="83" spans="12:14" x14ac:dyDescent="0.25">
      <c r="L83" s="54">
        <f t="shared" si="21"/>
        <v>0.72000000000000042</v>
      </c>
      <c r="N83" s="50">
        <f t="shared" ca="1" si="20"/>
        <v>0.81154747913249603</v>
      </c>
    </row>
    <row r="84" spans="12:14" x14ac:dyDescent="0.25">
      <c r="L84" s="54">
        <f t="shared" si="21"/>
        <v>0.73000000000000043</v>
      </c>
      <c r="N84" s="50">
        <f t="shared" ca="1" si="20"/>
        <v>0.81269634789042156</v>
      </c>
    </row>
    <row r="85" spans="12:14" x14ac:dyDescent="0.25">
      <c r="L85" s="54">
        <f t="shared" si="21"/>
        <v>0.74000000000000044</v>
      </c>
      <c r="N85" s="50">
        <f t="shared" ca="1" si="20"/>
        <v>0.81386975625143565</v>
      </c>
    </row>
    <row r="86" spans="12:14" x14ac:dyDescent="0.25">
      <c r="L86" s="54">
        <f t="shared" si="21"/>
        <v>0.75000000000000044</v>
      </c>
      <c r="N86" s="50">
        <f t="shared" ca="1" si="20"/>
        <v>0.81506673768427385</v>
      </c>
    </row>
    <row r="87" spans="12:14" x14ac:dyDescent="0.25">
      <c r="L87" s="54">
        <f t="shared" si="21"/>
        <v>0.76000000000000045</v>
      </c>
      <c r="N87" s="50">
        <f t="shared" ca="1" si="20"/>
        <v>0.81628632588248184</v>
      </c>
    </row>
    <row r="88" spans="12:14" x14ac:dyDescent="0.25">
      <c r="L88" s="54">
        <f t="shared" si="21"/>
        <v>0.77000000000000046</v>
      </c>
      <c r="N88" s="50">
        <f t="shared" ca="1" si="20"/>
        <v>0.81752773354268427</v>
      </c>
    </row>
    <row r="89" spans="12:14" x14ac:dyDescent="0.25">
      <c r="L89" s="54">
        <f t="shared" si="21"/>
        <v>0.78000000000000047</v>
      </c>
      <c r="N89" s="50">
        <f t="shared" ca="1" si="20"/>
        <v>0.81878996455646491</v>
      </c>
    </row>
    <row r="90" spans="12:14" x14ac:dyDescent="0.25">
      <c r="L90" s="54">
        <f t="shared" si="21"/>
        <v>0.79000000000000048</v>
      </c>
      <c r="N90" s="50">
        <f t="shared" ca="1" si="20"/>
        <v>0.8200721718126085</v>
      </c>
    </row>
    <row r="91" spans="12:14" x14ac:dyDescent="0.25">
      <c r="L91" s="54">
        <f t="shared" si="21"/>
        <v>0.80000000000000049</v>
      </c>
      <c r="N91" s="50">
        <f t="shared" ca="1" si="20"/>
        <v>0.8213734188577827</v>
      </c>
    </row>
    <row r="92" spans="12:14" x14ac:dyDescent="0.25">
      <c r="L92" s="54">
        <f t="shared" si="21"/>
        <v>0.8100000000000005</v>
      </c>
      <c r="N92" s="50">
        <f t="shared" ca="1" si="20"/>
        <v>0.82269273961790967</v>
      </c>
    </row>
    <row r="93" spans="12:14" x14ac:dyDescent="0.25">
      <c r="L93" s="54">
        <f t="shared" si="21"/>
        <v>0.82000000000000051</v>
      </c>
      <c r="N93" s="50">
        <f t="shared" ca="1" si="20"/>
        <v>0.8240293166248559</v>
      </c>
    </row>
    <row r="94" spans="12:14" x14ac:dyDescent="0.25">
      <c r="L94" s="54">
        <f t="shared" si="21"/>
        <v>0.83000000000000052</v>
      </c>
      <c r="N94" s="50">
        <f t="shared" ca="1" si="20"/>
        <v>0.82538221348941743</v>
      </c>
    </row>
    <row r="95" spans="12:14" x14ac:dyDescent="0.25">
      <c r="L95" s="54">
        <f t="shared" si="21"/>
        <v>0.84000000000000052</v>
      </c>
      <c r="N95" s="50">
        <f t="shared" ca="1" si="20"/>
        <v>0.82675055320510604</v>
      </c>
    </row>
    <row r="96" spans="12:14" x14ac:dyDescent="0.25">
      <c r="L96" s="54">
        <f t="shared" si="21"/>
        <v>0.85000000000000053</v>
      </c>
      <c r="N96" s="50">
        <f t="shared" ca="1" si="20"/>
        <v>0.82813339959365806</v>
      </c>
    </row>
    <row r="97" spans="12:14" x14ac:dyDescent="0.25">
      <c r="L97" s="54">
        <f t="shared" si="21"/>
        <v>0.86000000000000054</v>
      </c>
      <c r="N97" s="50">
        <f t="shared" ca="1" si="20"/>
        <v>0.82952981606177401</v>
      </c>
    </row>
    <row r="98" spans="12:14" x14ac:dyDescent="0.25">
      <c r="L98" s="54">
        <f t="shared" si="21"/>
        <v>0.87000000000000055</v>
      </c>
      <c r="N98" s="50">
        <f t="shared" ca="1" si="20"/>
        <v>0.83093892575283967</v>
      </c>
    </row>
    <row r="99" spans="12:14" x14ac:dyDescent="0.25">
      <c r="L99" s="54">
        <f t="shared" si="21"/>
        <v>0.88000000000000056</v>
      </c>
      <c r="N99" s="50">
        <f t="shared" ca="1" si="20"/>
        <v>0.8323598220079188</v>
      </c>
    </row>
    <row r="100" spans="12:14" x14ac:dyDescent="0.25">
      <c r="L100" s="54">
        <f t="shared" si="21"/>
        <v>0.89000000000000057</v>
      </c>
      <c r="N100" s="50">
        <f t="shared" ca="1" si="20"/>
        <v>0.83379161306923577</v>
      </c>
    </row>
    <row r="101" spans="12:14" x14ac:dyDescent="0.25">
      <c r="L101" s="54">
        <f t="shared" si="21"/>
        <v>0.90000000000000058</v>
      </c>
      <c r="N101" s="50">
        <f t="shared" ca="1" si="20"/>
        <v>0.83523336247553193</v>
      </c>
    </row>
    <row r="102" spans="12:14" x14ac:dyDescent="0.25">
      <c r="L102" s="54">
        <f t="shared" si="21"/>
        <v>0.91000000000000059</v>
      </c>
      <c r="N102" s="50">
        <f t="shared" ca="1" si="20"/>
        <v>0.83668419324797016</v>
      </c>
    </row>
    <row r="103" spans="12:14" x14ac:dyDescent="0.25">
      <c r="L103" s="54">
        <f t="shared" si="21"/>
        <v>0.9200000000000006</v>
      </c>
      <c r="N103" s="50">
        <f t="shared" ca="1" si="20"/>
        <v>0.8381431839394885</v>
      </c>
    </row>
    <row r="104" spans="12:14" x14ac:dyDescent="0.25">
      <c r="L104" s="54">
        <f t="shared" si="21"/>
        <v>0.9300000000000006</v>
      </c>
      <c r="N104" s="50">
        <f t="shared" ca="1" si="20"/>
        <v>0.83960942802364114</v>
      </c>
    </row>
    <row r="105" spans="12:14" x14ac:dyDescent="0.25">
      <c r="L105" s="54">
        <f t="shared" si="21"/>
        <v>0.94000000000000061</v>
      </c>
      <c r="N105" s="50">
        <f t="shared" ca="1" si="20"/>
        <v>0.84108200381810749</v>
      </c>
    </row>
    <row r="106" spans="12:14" x14ac:dyDescent="0.25">
      <c r="L106" s="54">
        <f t="shared" si="21"/>
        <v>0.95000000000000062</v>
      </c>
      <c r="N106" s="50">
        <f t="shared" ca="1" si="20"/>
        <v>0.84256002701569299</v>
      </c>
    </row>
    <row r="107" spans="12:14" x14ac:dyDescent="0.25">
      <c r="L107" s="54">
        <f t="shared" si="21"/>
        <v>0.96000000000000063</v>
      </c>
      <c r="N107" s="50">
        <f t="shared" ca="1" si="20"/>
        <v>0.84404259081767463</v>
      </c>
    </row>
    <row r="108" spans="12:14" x14ac:dyDescent="0.25">
      <c r="L108" s="54">
        <f t="shared" si="21"/>
        <v>0.97000000000000064</v>
      </c>
      <c r="N108" s="50">
        <f t="shared" ca="1" si="20"/>
        <v>0.84552877394163573</v>
      </c>
    </row>
    <row r="109" spans="12:14" x14ac:dyDescent="0.25">
      <c r="L109" s="54">
        <f t="shared" si="21"/>
        <v>0.98000000000000065</v>
      </c>
      <c r="N109" s="50">
        <f t="shared" ca="1" si="20"/>
        <v>0.84701768069564209</v>
      </c>
    </row>
    <row r="110" spans="12:14" x14ac:dyDescent="0.25">
      <c r="L110" s="54">
        <f t="shared" si="21"/>
        <v>0.99000000000000066</v>
      </c>
      <c r="N110" s="50">
        <f t="shared" ca="1" si="20"/>
        <v>0.84850839893948504</v>
      </c>
    </row>
    <row r="111" spans="12:14" x14ac:dyDescent="0.25">
      <c r="L111" s="54">
        <f t="shared" si="21"/>
        <v>1.0000000000000007</v>
      </c>
      <c r="N111" s="50">
        <f t="shared" ca="1" si="20"/>
        <v>0.85000002384185813</v>
      </c>
    </row>
    <row r="1000" spans="5:5" x14ac:dyDescent="0.25">
      <c r="E1000" s="44" t="s">
        <v>57</v>
      </c>
    </row>
  </sheetData>
  <mergeCells count="1">
    <mergeCell ref="E11:G11"/>
  </mergeCells>
  <dataValidations count="3">
    <dataValidation type="list" allowBlank="1" showInputMessage="1" showErrorMessage="1" sqref="E11:G11" xr:uid="{26F70C3E-1420-4201-B5FA-CFA046319A93}">
      <formula1>$E$12:$H$12</formula1>
    </dataValidation>
    <dataValidation type="list" allowBlank="1" showInputMessage="1" showErrorMessage="1" sqref="WVM983051 JA11 SW11 ACS11 AMO11 AWK11 BGG11 BQC11 BZY11 CJU11 CTQ11 DDM11 DNI11 DXE11 EHA11 EQW11 FAS11 FKO11 FUK11 GEG11 GOC11 GXY11 HHU11 HRQ11 IBM11 ILI11 IVE11 JFA11 JOW11 JYS11 KIO11 KSK11 LCG11 LMC11 LVY11 MFU11 MPQ11 MZM11 NJI11 NTE11 ODA11 OMW11 OWS11 PGO11 PQK11 QAG11 QKC11 QTY11 RDU11 RNQ11 RXM11 SHI11 SRE11 TBA11 TKW11 TUS11 UEO11 UOK11 UYG11 VIC11 VRY11 WBU11 WLQ11 WVM11 E65547 JA65547 SW65547 ACS65547 AMO65547 AWK65547 BGG65547 BQC65547 BZY65547 CJU65547 CTQ65547 DDM65547 DNI65547 DXE65547 EHA65547 EQW65547 FAS65547 FKO65547 FUK65547 GEG65547 GOC65547 GXY65547 HHU65547 HRQ65547 IBM65547 ILI65547 IVE65547 JFA65547 JOW65547 JYS65547 KIO65547 KSK65547 LCG65547 LMC65547 LVY65547 MFU65547 MPQ65547 MZM65547 NJI65547 NTE65547 ODA65547 OMW65547 OWS65547 PGO65547 PQK65547 QAG65547 QKC65547 QTY65547 RDU65547 RNQ65547 RXM65547 SHI65547 SRE65547 TBA65547 TKW65547 TUS65547 UEO65547 UOK65547 UYG65547 VIC65547 VRY65547 WBU65547 WLQ65547 WVM65547 E131083 JA131083 SW131083 ACS131083 AMO131083 AWK131083 BGG131083 BQC131083 BZY131083 CJU131083 CTQ131083 DDM131083 DNI131083 DXE131083 EHA131083 EQW131083 FAS131083 FKO131083 FUK131083 GEG131083 GOC131083 GXY131083 HHU131083 HRQ131083 IBM131083 ILI131083 IVE131083 JFA131083 JOW131083 JYS131083 KIO131083 KSK131083 LCG131083 LMC131083 LVY131083 MFU131083 MPQ131083 MZM131083 NJI131083 NTE131083 ODA131083 OMW131083 OWS131083 PGO131083 PQK131083 QAG131083 QKC131083 QTY131083 RDU131083 RNQ131083 RXM131083 SHI131083 SRE131083 TBA131083 TKW131083 TUS131083 UEO131083 UOK131083 UYG131083 VIC131083 VRY131083 WBU131083 WLQ131083 WVM131083 E196619 JA196619 SW196619 ACS196619 AMO196619 AWK196619 BGG196619 BQC196619 BZY196619 CJU196619 CTQ196619 DDM196619 DNI196619 DXE196619 EHA196619 EQW196619 FAS196619 FKO196619 FUK196619 GEG196619 GOC196619 GXY196619 HHU196619 HRQ196619 IBM196619 ILI196619 IVE196619 JFA196619 JOW196619 JYS196619 KIO196619 KSK196619 LCG196619 LMC196619 LVY196619 MFU196619 MPQ196619 MZM196619 NJI196619 NTE196619 ODA196619 OMW196619 OWS196619 PGO196619 PQK196619 QAG196619 QKC196619 QTY196619 RDU196619 RNQ196619 RXM196619 SHI196619 SRE196619 TBA196619 TKW196619 TUS196619 UEO196619 UOK196619 UYG196619 VIC196619 VRY196619 WBU196619 WLQ196619 WVM196619 E262155 JA262155 SW262155 ACS262155 AMO262155 AWK262155 BGG262155 BQC262155 BZY262155 CJU262155 CTQ262155 DDM262155 DNI262155 DXE262155 EHA262155 EQW262155 FAS262155 FKO262155 FUK262155 GEG262155 GOC262155 GXY262155 HHU262155 HRQ262155 IBM262155 ILI262155 IVE262155 JFA262155 JOW262155 JYS262155 KIO262155 KSK262155 LCG262155 LMC262155 LVY262155 MFU262155 MPQ262155 MZM262155 NJI262155 NTE262155 ODA262155 OMW262155 OWS262155 PGO262155 PQK262155 QAG262155 QKC262155 QTY262155 RDU262155 RNQ262155 RXM262155 SHI262155 SRE262155 TBA262155 TKW262155 TUS262155 UEO262155 UOK262155 UYG262155 VIC262155 VRY262155 WBU262155 WLQ262155 WVM262155 E327691 JA327691 SW327691 ACS327691 AMO327691 AWK327691 BGG327691 BQC327691 BZY327691 CJU327691 CTQ327691 DDM327691 DNI327691 DXE327691 EHA327691 EQW327691 FAS327691 FKO327691 FUK327691 GEG327691 GOC327691 GXY327691 HHU327691 HRQ327691 IBM327691 ILI327691 IVE327691 JFA327691 JOW327691 JYS327691 KIO327691 KSK327691 LCG327691 LMC327691 LVY327691 MFU327691 MPQ327691 MZM327691 NJI327691 NTE327691 ODA327691 OMW327691 OWS327691 PGO327691 PQK327691 QAG327691 QKC327691 QTY327691 RDU327691 RNQ327691 RXM327691 SHI327691 SRE327691 TBA327691 TKW327691 TUS327691 UEO327691 UOK327691 UYG327691 VIC327691 VRY327691 WBU327691 WLQ327691 WVM327691 E393227 JA393227 SW393227 ACS393227 AMO393227 AWK393227 BGG393227 BQC393227 BZY393227 CJU393227 CTQ393227 DDM393227 DNI393227 DXE393227 EHA393227 EQW393227 FAS393227 FKO393227 FUK393227 GEG393227 GOC393227 GXY393227 HHU393227 HRQ393227 IBM393227 ILI393227 IVE393227 JFA393227 JOW393227 JYS393227 KIO393227 KSK393227 LCG393227 LMC393227 LVY393227 MFU393227 MPQ393227 MZM393227 NJI393227 NTE393227 ODA393227 OMW393227 OWS393227 PGO393227 PQK393227 QAG393227 QKC393227 QTY393227 RDU393227 RNQ393227 RXM393227 SHI393227 SRE393227 TBA393227 TKW393227 TUS393227 UEO393227 UOK393227 UYG393227 VIC393227 VRY393227 WBU393227 WLQ393227 WVM393227 E458763 JA458763 SW458763 ACS458763 AMO458763 AWK458763 BGG458763 BQC458763 BZY458763 CJU458763 CTQ458763 DDM458763 DNI458763 DXE458763 EHA458763 EQW458763 FAS458763 FKO458763 FUK458763 GEG458763 GOC458763 GXY458763 HHU458763 HRQ458763 IBM458763 ILI458763 IVE458763 JFA458763 JOW458763 JYS458763 KIO458763 KSK458763 LCG458763 LMC458763 LVY458763 MFU458763 MPQ458763 MZM458763 NJI458763 NTE458763 ODA458763 OMW458763 OWS458763 PGO458763 PQK458763 QAG458763 QKC458763 QTY458763 RDU458763 RNQ458763 RXM458763 SHI458763 SRE458763 TBA458763 TKW458763 TUS458763 UEO458763 UOK458763 UYG458763 VIC458763 VRY458763 WBU458763 WLQ458763 WVM458763 E524299 JA524299 SW524299 ACS524299 AMO524299 AWK524299 BGG524299 BQC524299 BZY524299 CJU524299 CTQ524299 DDM524299 DNI524299 DXE524299 EHA524299 EQW524299 FAS524299 FKO524299 FUK524299 GEG524299 GOC524299 GXY524299 HHU524299 HRQ524299 IBM524299 ILI524299 IVE524299 JFA524299 JOW524299 JYS524299 KIO524299 KSK524299 LCG524299 LMC524299 LVY524299 MFU524299 MPQ524299 MZM524299 NJI524299 NTE524299 ODA524299 OMW524299 OWS524299 PGO524299 PQK524299 QAG524299 QKC524299 QTY524299 RDU524299 RNQ524299 RXM524299 SHI524299 SRE524299 TBA524299 TKW524299 TUS524299 UEO524299 UOK524299 UYG524299 VIC524299 VRY524299 WBU524299 WLQ524299 WVM524299 E589835 JA589835 SW589835 ACS589835 AMO589835 AWK589835 BGG589835 BQC589835 BZY589835 CJU589835 CTQ589835 DDM589835 DNI589835 DXE589835 EHA589835 EQW589835 FAS589835 FKO589835 FUK589835 GEG589835 GOC589835 GXY589835 HHU589835 HRQ589835 IBM589835 ILI589835 IVE589835 JFA589835 JOW589835 JYS589835 KIO589835 KSK589835 LCG589835 LMC589835 LVY589835 MFU589835 MPQ589835 MZM589835 NJI589835 NTE589835 ODA589835 OMW589835 OWS589835 PGO589835 PQK589835 QAG589835 QKC589835 QTY589835 RDU589835 RNQ589835 RXM589835 SHI589835 SRE589835 TBA589835 TKW589835 TUS589835 UEO589835 UOK589835 UYG589835 VIC589835 VRY589835 WBU589835 WLQ589835 WVM589835 E655371 JA655371 SW655371 ACS655371 AMO655371 AWK655371 BGG655371 BQC655371 BZY655371 CJU655371 CTQ655371 DDM655371 DNI655371 DXE655371 EHA655371 EQW655371 FAS655371 FKO655371 FUK655371 GEG655371 GOC655371 GXY655371 HHU655371 HRQ655371 IBM655371 ILI655371 IVE655371 JFA655371 JOW655371 JYS655371 KIO655371 KSK655371 LCG655371 LMC655371 LVY655371 MFU655371 MPQ655371 MZM655371 NJI655371 NTE655371 ODA655371 OMW655371 OWS655371 PGO655371 PQK655371 QAG655371 QKC655371 QTY655371 RDU655371 RNQ655371 RXM655371 SHI655371 SRE655371 TBA655371 TKW655371 TUS655371 UEO655371 UOK655371 UYG655371 VIC655371 VRY655371 WBU655371 WLQ655371 WVM655371 E720907 JA720907 SW720907 ACS720907 AMO720907 AWK720907 BGG720907 BQC720907 BZY720907 CJU720907 CTQ720907 DDM720907 DNI720907 DXE720907 EHA720907 EQW720907 FAS720907 FKO720907 FUK720907 GEG720907 GOC720907 GXY720907 HHU720907 HRQ720907 IBM720907 ILI720907 IVE720907 JFA720907 JOW720907 JYS720907 KIO720907 KSK720907 LCG720907 LMC720907 LVY720907 MFU720907 MPQ720907 MZM720907 NJI720907 NTE720907 ODA720907 OMW720907 OWS720907 PGO720907 PQK720907 QAG720907 QKC720907 QTY720907 RDU720907 RNQ720907 RXM720907 SHI720907 SRE720907 TBA720907 TKW720907 TUS720907 UEO720907 UOK720907 UYG720907 VIC720907 VRY720907 WBU720907 WLQ720907 WVM720907 E786443 JA786443 SW786443 ACS786443 AMO786443 AWK786443 BGG786443 BQC786443 BZY786443 CJU786443 CTQ786443 DDM786443 DNI786443 DXE786443 EHA786443 EQW786443 FAS786443 FKO786443 FUK786443 GEG786443 GOC786443 GXY786443 HHU786443 HRQ786443 IBM786443 ILI786443 IVE786443 JFA786443 JOW786443 JYS786443 KIO786443 KSK786443 LCG786443 LMC786443 LVY786443 MFU786443 MPQ786443 MZM786443 NJI786443 NTE786443 ODA786443 OMW786443 OWS786443 PGO786443 PQK786443 QAG786443 QKC786443 QTY786443 RDU786443 RNQ786443 RXM786443 SHI786443 SRE786443 TBA786443 TKW786443 TUS786443 UEO786443 UOK786443 UYG786443 VIC786443 VRY786443 WBU786443 WLQ786443 WVM786443 E851979 JA851979 SW851979 ACS851979 AMO851979 AWK851979 BGG851979 BQC851979 BZY851979 CJU851979 CTQ851979 DDM851979 DNI851979 DXE851979 EHA851979 EQW851979 FAS851979 FKO851979 FUK851979 GEG851979 GOC851979 GXY851979 HHU851979 HRQ851979 IBM851979 ILI851979 IVE851979 JFA851979 JOW851979 JYS851979 KIO851979 KSK851979 LCG851979 LMC851979 LVY851979 MFU851979 MPQ851979 MZM851979 NJI851979 NTE851979 ODA851979 OMW851979 OWS851979 PGO851979 PQK851979 QAG851979 QKC851979 QTY851979 RDU851979 RNQ851979 RXM851979 SHI851979 SRE851979 TBA851979 TKW851979 TUS851979 UEO851979 UOK851979 UYG851979 VIC851979 VRY851979 WBU851979 WLQ851979 WVM851979 E917515 JA917515 SW917515 ACS917515 AMO917515 AWK917515 BGG917515 BQC917515 BZY917515 CJU917515 CTQ917515 DDM917515 DNI917515 DXE917515 EHA917515 EQW917515 FAS917515 FKO917515 FUK917515 GEG917515 GOC917515 GXY917515 HHU917515 HRQ917515 IBM917515 ILI917515 IVE917515 JFA917515 JOW917515 JYS917515 KIO917515 KSK917515 LCG917515 LMC917515 LVY917515 MFU917515 MPQ917515 MZM917515 NJI917515 NTE917515 ODA917515 OMW917515 OWS917515 PGO917515 PQK917515 QAG917515 QKC917515 QTY917515 RDU917515 RNQ917515 RXM917515 SHI917515 SRE917515 TBA917515 TKW917515 TUS917515 UEO917515 UOK917515 UYG917515 VIC917515 VRY917515 WBU917515 WLQ917515 WVM917515 E983051 JA983051 SW983051 ACS983051 AMO983051 AWK983051 BGG983051 BQC983051 BZY983051 CJU983051 CTQ983051 DDM983051 DNI983051 DXE983051 EHA983051 EQW983051 FAS983051 FKO983051 FUK983051 GEG983051 GOC983051 GXY983051 HHU983051 HRQ983051 IBM983051 ILI983051 IVE983051 JFA983051 JOW983051 JYS983051 KIO983051 KSK983051 LCG983051 LMC983051 LVY983051 MFU983051 MPQ983051 MZM983051 NJI983051 NTE983051 ODA983051 OMW983051 OWS983051 PGO983051 PQK983051 QAG983051 QKC983051 QTY983051 RDU983051 RNQ983051 RXM983051 SHI983051 SRE983051 TBA983051 TKW983051 TUS983051 UEO983051 UOK983051 UYG983051 VIC983051 VRY983051 WBU983051 WLQ983051" xr:uid="{0F22A545-1ED9-4A55-9DBF-7F808C258C50}">
      <formula1>$E$12:$G$12</formula1>
    </dataValidation>
    <dataValidation type="list" allowBlank="1" showInputMessage="1" showErrorMessage="1"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xr:uid="{76FB018B-6946-45B8-A677-7CA97F068875}">
      <formula1>"Linear, Spline"</formula1>
    </dataValidation>
  </dataValidations>
  <pageMargins left="0.75" right="0.75" top="1" bottom="1" header="0.5" footer="0.5"/>
  <pageSetup paperSize="9" orientation="portrait" horizontalDpi="4294967293" r:id="rId1"/>
  <headerFooter alignWithMargins="0"/>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Merton</vt:lpstr>
      <vt:lpstr>Correlation</vt:lpstr>
      <vt:lpstr>CDSCntrptyRisk</vt:lpstr>
      <vt:lpstr>Gaussian Copula Model</vt:lpstr>
      <vt:lpstr>BaseCorrelation</vt:lpstr>
      <vt:lpstr>CDSCntrptyRisk!CntrptyDefProb</vt:lpstr>
      <vt:lpstr>CDSCntrptyRisk!CntrptySpread</vt:lpstr>
      <vt:lpstr>CDSCntrptyRisk!CopulaCorrelation</vt:lpstr>
      <vt:lpstr>BaseCorrelation!CorrelAttach</vt:lpstr>
      <vt:lpstr>'Gaussian Copula Model'!CorrelAttach</vt:lpstr>
      <vt:lpstr>BaseCorrelation!CorrelDetach</vt:lpstr>
      <vt:lpstr>'Gaussian Copula Model'!CorrelDetach</vt:lpstr>
      <vt:lpstr>d1x</vt:lpstr>
      <vt:lpstr>d2x</vt:lpstr>
      <vt:lpstr>DebtFV</vt:lpstr>
      <vt:lpstr>FirmValue</vt:lpstr>
      <vt:lpstr>FVol</vt:lpstr>
      <vt:lpstr>GCCorrel</vt:lpstr>
      <vt:lpstr>BaseCorrelation!InterpType</vt:lpstr>
      <vt:lpstr>'Gaussian Copula Model'!InterpType</vt:lpstr>
      <vt:lpstr>Merton!IntRate</vt:lpstr>
      <vt:lpstr>CDSCntrptyRisk!Maturity</vt:lpstr>
      <vt:lpstr>Maturity</vt:lpstr>
      <vt:lpstr>CDSCntrptyRisk!Recovery</vt:lpstr>
      <vt:lpstr>CDSCntrptyRisk!RefDefProb</vt:lpstr>
      <vt:lpstr>CDSCntrptyRisk!SpreadRef</vt:lpstr>
    </vt:vector>
  </TitlesOfParts>
  <Company>Home Use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Gregory</dc:creator>
  <cp:lastModifiedBy>Jon Gregory</cp:lastModifiedBy>
  <dcterms:created xsi:type="dcterms:W3CDTF">2009-11-27T11:14:55Z</dcterms:created>
  <dcterms:modified xsi:type="dcterms:W3CDTF">2023-06-21T10:39:55Z</dcterms:modified>
</cp:coreProperties>
</file>